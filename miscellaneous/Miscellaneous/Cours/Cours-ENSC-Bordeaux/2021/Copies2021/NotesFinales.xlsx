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<sst xmlns="http://schemas.openxmlformats.org/spreadsheetml/2006/main" count="51" uniqueCount="51">
  <si>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Eleve</t>
  </si>
  <si>
    <t xml:space="preserve">Note (sur 20, arrondi 0.5 sup)</t>
  </si>
  <si>
    <t xml:space="preserve">Note (sur 16)</t>
  </si>
  <si>
    <t xml:space="preserve">Adele Hugues</t>
  </si>
  <si>
    <t xml:space="preserve">Beaumian, Camille</t>
  </si>
  <si>
    <t xml:space="preserve">Beziau Eva</t>
  </si>
  <si>
    <t xml:space="preserve">BREGIER Lisa</t>
  </si>
  <si>
    <t xml:space="preserve">3.3: les intersections divisent le débit par 2</t>
  </si>
  <si>
    <t xml:space="preserve">Calice Laetitia</t>
  </si>
  <si>
    <t xml:space="preserve">Castellan Clément</t>
  </si>
  <si>
    <t xml:space="preserve">2: la complexité est en général sur le pire des cas.</t>
  </si>
  <si>
    <t xml:space="preserve">Caubet.Hippolyte</t>
  </si>
  <si>
    <t xml:space="preserve">Chalan Lucas</t>
  </si>
  <si>
    <t xml:space="preserve">Cittadini.Maelys</t>
  </si>
  <si>
    <t xml:space="preserve">conqui.antoine</t>
  </si>
  <si>
    <t xml:space="preserve">hugot.corentin</t>
  </si>
  <si>
    <t xml:space="preserve">retard</t>
  </si>
  <si>
    <t xml:space="preserve">Craspay Lucie</t>
  </si>
  <si>
    <t xml:space="preserve">2:TRI PAR SELECTION;3: question non répondue correctement, mais au moins vous n'avez pas copié.</t>
  </si>
  <si>
    <t xml:space="preserve">De Barros, Antoine</t>
  </si>
  <si>
    <t xml:space="preserve">3: question non répondue correctement, mais au moins vous n'avez pas copié.</t>
  </si>
  <si>
    <t xml:space="preserve">DIET Auriane</t>
  </si>
  <si>
    <t xml:space="preserve">Escoda.Héléna</t>
  </si>
  <si>
    <t xml:space="preserve">Félix, Esther</t>
  </si>
  <si>
    <t xml:space="preserve">Filosa</t>
  </si>
  <si>
    <t xml:space="preserve">Fleury</t>
  </si>
  <si>
    <t xml:space="preserve">Gonet-Mery, Jeanne</t>
  </si>
  <si>
    <t xml:space="preserve">Louit, Pauline</t>
  </si>
  <si>
    <t xml:space="preserve">GORBATOFF Alexane</t>
  </si>
  <si>
    <t xml:space="preserve">Guillemet Fanny</t>
  </si>
  <si>
    <t xml:space="preserve">HANRIO, Solène</t>
  </si>
  <si>
    <t xml:space="preserve">Henry_Dorine</t>
  </si>
  <si>
    <t xml:space="preserve">2: non, tri par sélectin</t>
  </si>
  <si>
    <t xml:space="preserve">JOUAULT Maurine</t>
  </si>
  <si>
    <t xml:space="preserve">Laisné, Gautier</t>
  </si>
  <si>
    <t xml:space="preserve">Lambert.solene</t>
  </si>
  <si>
    <t xml:space="preserve">2: dans les langages à base de règles, les règles sont e'xecutées tant qu'elles peuvent l'être.</t>
  </si>
  <si>
    <t xml:space="preserve">LEMOIGNE, Céline</t>
  </si>
  <si>
    <t xml:space="preserve">MATHIO, Noémie</t>
  </si>
  <si>
    <t xml:space="preserve">rédaction très informelle, mais les concepts sont compris.</t>
  </si>
  <si>
    <t xml:space="preserve">MORELLE, Marie</t>
  </si>
  <si>
    <t xml:space="preserve">3: Aimsum est pour la gestion du traffic, pas des tournées.</t>
  </si>
  <si>
    <t xml:space="preserve">Narcisse Nicolas</t>
  </si>
  <si>
    <t xml:space="preserve">TUCO Clara</t>
  </si>
  <si>
    <t xml:space="preserve">Vauchez Juliette</t>
  </si>
  <si>
    <t xml:space="preserve">VILLETTE.Lauriane</t>
  </si>
  <si>
    <t xml:space="preserve">2: tri par sélection. 3: citilog n'est pas concurrent ni C.</t>
  </si>
  <si>
    <t xml:space="preserve">Von Campe, Hugo</t>
  </si>
  <si>
    <t xml:space="preserve">2: pas linéaire, quadratique</t>
  </si>
  <si>
    <t xml:space="preserve">(Zak, Maud) ?</t>
  </si>
  <si>
    <t xml:space="preserve">3: pas des concurrents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</si>
</sst>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40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B3" activeCellId="0" sqref="B3"/>
    </sheetView>
  </sheetViews>
  <sheetFormatPr defaultColWidth="8.60546875" defaultRowHeight="13.8" zeroHeight="false" outlineLevelRow="0" outlineLevelCol="0"/>
  <cols>
    <col collapsed="false" customWidth="true" hidden="false" outlineLevel="0" max="1" min="1" style="0" width="32.87"/>
    <col collapsed="false" customWidth="true" hidden="false" outlineLevel="0" max="2" min="2" style="0" width="28.31"/>
    <col collapsed="false" customWidth="true" hidden="false" outlineLevel="0" max="3" min="3" style="0" width="17.86"/>
    <col collapsed="false" customWidth="true" hidden="false" outlineLevel="0" max="1024" min="1015" style="0" width="11.52"/>
  </cols>
  <sheetData>
    <row r="2" customFormat="false" ht="13.8" hidden="false" customHeight="false" outlineLevel="0" collapsed="false">
      <c r="A2" s="0" t="s">
        <v>0</v>
      </c>
      <c r="B2" s="0" t="s">
        <v>1</v>
      </c>
      <c r="C2" s="0" t="s">
        <v>2</v>
      </c>
      <c r="D2" s="0" t="n">
        <v>1</v>
      </c>
      <c r="E2" s="0" t="n">
        <v>2</v>
      </c>
      <c r="F2" s="0" t="n">
        <v>3</v>
      </c>
      <c r="G2" s="0" t="n">
        <v>4</v>
      </c>
      <c r="H2" s="0" t="n">
        <v>5</v>
      </c>
      <c r="I2" s="0" t="n">
        <v>6</v>
      </c>
      <c r="J2" s="0" t="n">
        <v>7</v>
      </c>
      <c r="K2" s="0" t="n">
        <v>8</v>
      </c>
    </row>
    <row r="3" customFormat="false" ht="13.8" hidden="false" customHeight="false" outlineLevel="0" collapsed="false">
      <c r="A3" s="0" t="s">
        <v>3</v>
      </c>
      <c r="B3" s="0" t="n">
        <f aca="false">_xlfn.CEILING.MATH(C3*40/16)/2</f>
        <v>10.5</v>
      </c>
      <c r="C3" s="1" t="n">
        <f aca="false">SUM(D3:K3)</f>
        <v>8.25</v>
      </c>
      <c r="D3" s="0" t="n">
        <v>1.25</v>
      </c>
      <c r="E3" s="0" t="n">
        <v>1.5</v>
      </c>
      <c r="F3" s="0" t="n">
        <v>0.5</v>
      </c>
      <c r="G3" s="0" t="n">
        <v>0</v>
      </c>
      <c r="H3" s="0" t="n">
        <v>1.5</v>
      </c>
      <c r="I3" s="1" t="n">
        <v>2</v>
      </c>
      <c r="J3" s="1" t="n">
        <v>0</v>
      </c>
      <c r="K3" s="1" t="n">
        <v>1.5</v>
      </c>
    </row>
    <row r="4" customFormat="false" ht="15" hidden="false" customHeight="false" outlineLevel="0" collapsed="false">
      <c r="A4" s="2" t="s">
        <v>4</v>
      </c>
      <c r="B4" s="0" t="n">
        <f aca="false">_xlfn.CEILING.MATH(C4*40/16)/2</f>
        <v>14</v>
      </c>
      <c r="C4" s="1" t="n">
        <f aca="false">SUM(D4:K4)</f>
        <v>10.91</v>
      </c>
      <c r="D4" s="0" t="n">
        <v>1</v>
      </c>
      <c r="E4" s="0" t="n">
        <v>1</v>
      </c>
      <c r="F4" s="0" t="n">
        <v>2</v>
      </c>
      <c r="G4" s="0" t="n">
        <v>0.66</v>
      </c>
      <c r="H4" s="0" t="n">
        <v>2</v>
      </c>
      <c r="I4" s="1" t="n">
        <v>2</v>
      </c>
      <c r="J4" s="1" t="n">
        <v>1</v>
      </c>
      <c r="K4" s="1" t="n">
        <v>1.25</v>
      </c>
    </row>
    <row r="5" customFormat="false" ht="13.8" hidden="false" customHeight="false" outlineLevel="0" collapsed="false">
      <c r="A5" s="0" t="s">
        <v>5</v>
      </c>
      <c r="B5" s="0" t="n">
        <f aca="false">_xlfn.CEILING.MATH(C5*40/16)/2</f>
        <v>9</v>
      </c>
      <c r="C5" s="1" t="n">
        <f aca="false">SUM(D5:K5)</f>
        <v>6.82</v>
      </c>
      <c r="D5" s="0" t="n">
        <v>1</v>
      </c>
      <c r="E5" s="0" t="n">
        <v>1.5</v>
      </c>
      <c r="F5" s="0" t="n">
        <v>0.66</v>
      </c>
      <c r="G5" s="0" t="n">
        <v>1</v>
      </c>
      <c r="H5" s="0" t="n">
        <v>0.66</v>
      </c>
      <c r="I5" s="1" t="n">
        <v>2</v>
      </c>
      <c r="J5" s="1" t="n">
        <v>0</v>
      </c>
      <c r="K5" s="1" t="n">
        <v>0</v>
      </c>
    </row>
    <row r="6" customFormat="false" ht="13.8" hidden="false" customHeight="false" outlineLevel="0" collapsed="false">
      <c r="A6" s="0" t="s">
        <v>6</v>
      </c>
      <c r="B6" s="0" t="n">
        <f aca="false">_xlfn.CEILING.MATH(C6*40/16)/2</f>
        <v>16</v>
      </c>
      <c r="C6" s="1" t="n">
        <f aca="false">SUM(D6:K6)</f>
        <v>12.5</v>
      </c>
      <c r="D6" s="0" t="n">
        <v>2</v>
      </c>
      <c r="E6" s="0" t="n">
        <v>2</v>
      </c>
      <c r="F6" s="0" t="n">
        <v>2</v>
      </c>
      <c r="G6" s="0" t="n">
        <v>1.75</v>
      </c>
      <c r="H6" s="0" t="n">
        <v>0.5</v>
      </c>
      <c r="I6" s="1" t="n">
        <v>1.75</v>
      </c>
      <c r="J6" s="1" t="n">
        <v>2</v>
      </c>
      <c r="K6" s="1" t="n">
        <v>0.5</v>
      </c>
      <c r="M6" s="0" t="s">
        <v>7</v>
      </c>
    </row>
    <row r="7" customFormat="false" ht="13.8" hidden="false" customHeight="false" outlineLevel="0" collapsed="false">
      <c r="A7" s="0" t="s">
        <v>8</v>
      </c>
      <c r="B7" s="0" t="n">
        <f aca="false">_xlfn.CEILING.MATH(C7*40/16)/2</f>
        <v>12</v>
      </c>
      <c r="C7" s="1" t="n">
        <f aca="false">SUM(D7:K7)</f>
        <v>9.35</v>
      </c>
      <c r="D7" s="0" t="n">
        <v>0.6</v>
      </c>
      <c r="E7" s="0" t="n">
        <v>1</v>
      </c>
      <c r="F7" s="0" t="n">
        <v>1.75</v>
      </c>
      <c r="G7" s="0" t="n">
        <v>1</v>
      </c>
      <c r="H7" s="0" t="n">
        <v>1</v>
      </c>
      <c r="I7" s="1" t="n">
        <v>1.5</v>
      </c>
      <c r="J7" s="1" t="n">
        <v>2</v>
      </c>
      <c r="K7" s="1" t="n">
        <v>0.5</v>
      </c>
    </row>
    <row r="8" customFormat="false" ht="13.8" hidden="false" customHeight="false" outlineLevel="0" collapsed="false">
      <c r="A8" s="0" t="s">
        <v>9</v>
      </c>
      <c r="B8" s="0" t="n">
        <f aca="false">_xlfn.CEILING.MATH(C8*40/16)/2</f>
        <v>19</v>
      </c>
      <c r="C8" s="1" t="n">
        <f aca="false">SUM(D8:K8)</f>
        <v>15</v>
      </c>
      <c r="D8" s="0" t="n">
        <v>2</v>
      </c>
      <c r="E8" s="0" t="n">
        <v>1.5</v>
      </c>
      <c r="F8" s="0" t="n">
        <v>2</v>
      </c>
      <c r="G8" s="0" t="n">
        <v>1.5</v>
      </c>
      <c r="H8" s="0" t="n">
        <v>2</v>
      </c>
      <c r="I8" s="1" t="n">
        <v>2</v>
      </c>
      <c r="J8" s="1" t="n">
        <v>2</v>
      </c>
      <c r="K8" s="1" t="n">
        <v>2</v>
      </c>
      <c r="M8" s="0" t="s">
        <v>10</v>
      </c>
    </row>
    <row r="9" customFormat="false" ht="13.8" hidden="false" customHeight="false" outlineLevel="0" collapsed="false">
      <c r="A9" s="0" t="s">
        <v>11</v>
      </c>
      <c r="B9" s="0" t="n">
        <f aca="false">_xlfn.CEILING.MATH(C9*40/16)/2</f>
        <v>18</v>
      </c>
      <c r="C9" s="1" t="n">
        <f aca="false">SUM(D9:K9)</f>
        <v>14.0833333333333</v>
      </c>
      <c r="D9" s="0" t="n">
        <v>2</v>
      </c>
      <c r="E9" s="0" t="n">
        <v>2</v>
      </c>
      <c r="F9" s="0" t="n">
        <v>1.75</v>
      </c>
      <c r="G9" s="0" t="n">
        <v>1.5</v>
      </c>
      <c r="H9" s="0" t="n">
        <v>1.75</v>
      </c>
      <c r="I9" s="1" t="n">
        <v>2</v>
      </c>
      <c r="J9" s="1" t="n">
        <v>1.83333333333333</v>
      </c>
      <c r="K9" s="1" t="n">
        <v>1.25</v>
      </c>
    </row>
    <row r="10" customFormat="false" ht="13.8" hidden="false" customHeight="false" outlineLevel="0" collapsed="false">
      <c r="A10" s="0" t="s">
        <v>12</v>
      </c>
      <c r="B10" s="0" t="n">
        <f aca="false">_xlfn.CEILING.MATH(C10*40/16)/2</f>
        <v>13.5</v>
      </c>
      <c r="C10" s="1" t="n">
        <f aca="false">SUM(D10:K10)</f>
        <v>10.75</v>
      </c>
      <c r="D10" s="0" t="n">
        <v>1</v>
      </c>
      <c r="E10" s="0" t="n">
        <v>1.75</v>
      </c>
      <c r="F10" s="0" t="n">
        <v>2</v>
      </c>
      <c r="G10" s="0" t="n">
        <v>1.25</v>
      </c>
      <c r="H10" s="0" t="n">
        <v>1</v>
      </c>
      <c r="I10" s="1" t="n">
        <v>1.5</v>
      </c>
      <c r="J10" s="1" t="n">
        <v>1</v>
      </c>
      <c r="K10" s="1" t="n">
        <v>1.25</v>
      </c>
    </row>
    <row r="11" customFormat="false" ht="13.8" hidden="false" customHeight="false" outlineLevel="0" collapsed="false">
      <c r="A11" s="0" t="s">
        <v>13</v>
      </c>
      <c r="B11" s="0" t="n">
        <f aca="false">_xlfn.CEILING.MATH(C11*40/16)/2</f>
        <v>12.5</v>
      </c>
      <c r="C11" s="1" t="n">
        <f aca="false">SUM(D11:K11)</f>
        <v>9.61666666666667</v>
      </c>
      <c r="D11" s="0" t="n">
        <v>0.6</v>
      </c>
      <c r="E11" s="0" t="n">
        <v>0.6</v>
      </c>
      <c r="F11" s="0" t="n">
        <v>2</v>
      </c>
      <c r="G11" s="0" t="n">
        <v>1</v>
      </c>
      <c r="H11" s="0" t="n">
        <v>1</v>
      </c>
      <c r="I11" s="1" t="n">
        <v>2</v>
      </c>
      <c r="J11" s="1" t="n">
        <v>0.666666666666667</v>
      </c>
      <c r="K11" s="1" t="n">
        <v>1.75</v>
      </c>
    </row>
    <row r="12" customFormat="false" ht="13.8" hidden="false" customHeight="false" outlineLevel="0" collapsed="false">
      <c r="A12" s="0" t="s">
        <v>14</v>
      </c>
      <c r="B12" s="0" t="n">
        <f aca="false">_xlfn.CEILING.MATH(C12*40/16)/2</f>
        <v>10</v>
      </c>
      <c r="C12" s="1" t="n">
        <f aca="false">SUM(D12:K12)</f>
        <v>7.66666666666667</v>
      </c>
      <c r="D12" s="0" t="n">
        <v>1.5</v>
      </c>
      <c r="E12" s="0" t="n">
        <v>1.75</v>
      </c>
      <c r="F12" s="0" t="n">
        <v>0</v>
      </c>
      <c r="G12" s="0" t="n">
        <v>0.75</v>
      </c>
      <c r="H12" s="0" t="n">
        <v>1</v>
      </c>
      <c r="I12" s="1" t="n">
        <v>2</v>
      </c>
      <c r="J12" s="1" t="n">
        <v>0.666666666666667</v>
      </c>
      <c r="K12" s="1" t="n">
        <v>0</v>
      </c>
    </row>
    <row r="13" customFormat="false" ht="13.8" hidden="false" customHeight="false" outlineLevel="0" collapsed="false">
      <c r="A13" s="0" t="s">
        <v>15</v>
      </c>
      <c r="B13" s="0" t="n">
        <f aca="false">_xlfn.CEILING.MATH(C13*40/16)/2</f>
        <v>15.5</v>
      </c>
      <c r="C13" s="1" t="n">
        <f aca="false">SUM(D13:K13)</f>
        <v>12.1666666666667</v>
      </c>
      <c r="D13" s="0" t="n">
        <v>1.5</v>
      </c>
      <c r="E13" s="0" t="n">
        <v>1.75</v>
      </c>
      <c r="F13" s="0" t="n">
        <v>2</v>
      </c>
      <c r="G13" s="0" t="n">
        <v>1</v>
      </c>
      <c r="H13" s="0" t="n">
        <v>0.75</v>
      </c>
      <c r="I13" s="1" t="n">
        <v>2</v>
      </c>
      <c r="J13" s="1" t="n">
        <v>0.666666666666667</v>
      </c>
      <c r="K13" s="1" t="n">
        <v>2.5</v>
      </c>
      <c r="M13" s="0" t="s">
        <v>16</v>
      </c>
    </row>
    <row r="14" customFormat="false" ht="13.8" hidden="false" customHeight="false" outlineLevel="0" collapsed="false">
      <c r="A14" s="0" t="s">
        <v>17</v>
      </c>
      <c r="B14" s="0" t="n">
        <f aca="false">_xlfn.CEILING.MATH(C14*40/16)/2</f>
        <v>15.5</v>
      </c>
      <c r="C14" s="1" t="n">
        <f aca="false">SUM(D14:K14)</f>
        <v>12.25</v>
      </c>
      <c r="D14" s="0" t="n">
        <v>1</v>
      </c>
      <c r="E14" s="0" t="n">
        <v>1.5</v>
      </c>
      <c r="F14" s="0" t="n">
        <v>1</v>
      </c>
      <c r="G14" s="0" t="n">
        <v>1.75</v>
      </c>
      <c r="H14" s="0" t="n">
        <v>1</v>
      </c>
      <c r="I14" s="1" t="n">
        <v>2</v>
      </c>
      <c r="J14" s="1" t="n">
        <v>2</v>
      </c>
      <c r="K14" s="1" t="n">
        <v>2</v>
      </c>
      <c r="M14" s="0" t="s">
        <v>18</v>
      </c>
    </row>
    <row r="15" customFormat="false" ht="13.8" hidden="false" customHeight="false" outlineLevel="0" collapsed="false">
      <c r="A15" s="0" t="s">
        <v>19</v>
      </c>
      <c r="B15" s="0" t="n">
        <f aca="false">_xlfn.CEILING.MATH(C15*40/16)/2</f>
        <v>12.5</v>
      </c>
      <c r="C15" s="1" t="n">
        <f aca="false">SUM(D15:K15)</f>
        <v>9.75</v>
      </c>
      <c r="D15" s="0" t="n">
        <v>1.5</v>
      </c>
      <c r="E15" s="0" t="n">
        <v>1</v>
      </c>
      <c r="F15" s="0" t="n">
        <v>1</v>
      </c>
      <c r="G15" s="0" t="n">
        <v>0.75</v>
      </c>
      <c r="H15" s="0" t="n">
        <v>1</v>
      </c>
      <c r="I15" s="1" t="n">
        <v>2</v>
      </c>
      <c r="J15" s="1" t="n">
        <v>1</v>
      </c>
      <c r="K15" s="1" t="n">
        <v>1.5</v>
      </c>
      <c r="M15" s="0" t="s">
        <v>20</v>
      </c>
    </row>
    <row r="16" customFormat="false" ht="13.8" hidden="false" customHeight="false" outlineLevel="0" collapsed="false">
      <c r="A16" s="0" t="s">
        <v>21</v>
      </c>
      <c r="B16" s="0" t="n">
        <f aca="false">_xlfn.CEILING.MATH(C16*40/16)/2</f>
        <v>10.5</v>
      </c>
      <c r="C16" s="1" t="n">
        <f aca="false">SUM(D16:K16)</f>
        <v>8.16666666666667</v>
      </c>
      <c r="D16" s="0" t="n">
        <v>0.75</v>
      </c>
      <c r="E16" s="0" t="n">
        <v>0.5</v>
      </c>
      <c r="F16" s="0" t="n">
        <v>1.5</v>
      </c>
      <c r="G16" s="0" t="n">
        <v>1</v>
      </c>
      <c r="H16" s="0" t="n">
        <v>0.75</v>
      </c>
      <c r="I16" s="1" t="n">
        <v>1.25</v>
      </c>
      <c r="J16" s="1" t="n">
        <v>0.666666666666667</v>
      </c>
      <c r="K16" s="1" t="n">
        <v>1.75</v>
      </c>
    </row>
    <row r="17" customFormat="false" ht="13.8" hidden="false" customHeight="false" outlineLevel="0" collapsed="false">
      <c r="A17" s="0" t="s">
        <v>22</v>
      </c>
      <c r="B17" s="0" t="n">
        <f aca="false">_xlfn.CEILING.MATH(C17*40/16)/2</f>
        <v>13.5</v>
      </c>
      <c r="C17" s="1" t="n">
        <f aca="false">SUM(D17:K17)</f>
        <v>10.75</v>
      </c>
      <c r="D17" s="0" t="n">
        <v>1.25</v>
      </c>
      <c r="E17" s="0" t="n">
        <v>1</v>
      </c>
      <c r="F17" s="0" t="n">
        <v>1</v>
      </c>
      <c r="G17" s="0" t="n">
        <v>0.75</v>
      </c>
      <c r="H17" s="0" t="n">
        <v>0.75</v>
      </c>
      <c r="I17" s="1" t="n">
        <v>2</v>
      </c>
      <c r="J17" s="1" t="n">
        <v>2</v>
      </c>
      <c r="K17" s="1" t="n">
        <v>2</v>
      </c>
    </row>
    <row r="18" customFormat="false" ht="13.8" hidden="false" customHeight="false" outlineLevel="0" collapsed="false">
      <c r="A18" s="0" t="s">
        <v>23</v>
      </c>
      <c r="B18" s="0" t="n">
        <f aca="false">_xlfn.CEILING.MATH(C18*40/16)/2</f>
        <v>14</v>
      </c>
      <c r="C18" s="1" t="n">
        <f aca="false">SUM(D18:K18)</f>
        <v>11</v>
      </c>
      <c r="D18" s="0" t="n">
        <v>0.75</v>
      </c>
      <c r="E18" s="0" t="n">
        <v>1.75</v>
      </c>
      <c r="F18" s="0" t="n">
        <v>0</v>
      </c>
      <c r="G18" s="0" t="n">
        <v>0.75</v>
      </c>
      <c r="H18" s="0" t="n">
        <v>1.75</v>
      </c>
      <c r="I18" s="1" t="n">
        <v>2</v>
      </c>
      <c r="J18" s="1" t="n">
        <v>2</v>
      </c>
      <c r="K18" s="1" t="n">
        <v>2</v>
      </c>
    </row>
    <row r="19" customFormat="false" ht="13.8" hidden="false" customHeight="false" outlineLevel="0" collapsed="false">
      <c r="A19" s="0" t="s">
        <v>24</v>
      </c>
      <c r="B19" s="0" t="n">
        <f aca="false">_xlfn.CEILING.MATH(C19*40/16)/2</f>
        <v>10.5</v>
      </c>
      <c r="C19" s="1" t="n">
        <f aca="false">SUM(D19:K19)</f>
        <v>8.25</v>
      </c>
      <c r="D19" s="0" t="n">
        <v>1</v>
      </c>
      <c r="E19" s="0" t="n">
        <v>1.25</v>
      </c>
      <c r="F19" s="0" t="n">
        <v>1.5</v>
      </c>
      <c r="G19" s="0" t="n">
        <v>0.75</v>
      </c>
      <c r="H19" s="0" t="n">
        <v>0.5</v>
      </c>
      <c r="I19" s="1" t="n">
        <v>2</v>
      </c>
      <c r="J19" s="1" t="n">
        <v>0</v>
      </c>
      <c r="K19" s="1" t="n">
        <v>1.25</v>
      </c>
    </row>
    <row r="20" customFormat="false" ht="13.8" hidden="false" customHeight="false" outlineLevel="0" collapsed="false">
      <c r="A20" s="0" t="s">
        <v>25</v>
      </c>
      <c r="B20" s="0" t="n">
        <f aca="false">_xlfn.CEILING.MATH(C20*40/16)/2</f>
        <v>19.5</v>
      </c>
      <c r="C20" s="1" t="n">
        <f aca="false">SUM(D20:K20)</f>
        <v>15.25</v>
      </c>
      <c r="D20" s="0" t="n">
        <v>2</v>
      </c>
      <c r="E20" s="0" t="n">
        <v>2</v>
      </c>
      <c r="F20" s="0" t="n">
        <v>2</v>
      </c>
      <c r="G20" s="0" t="n">
        <v>1.75</v>
      </c>
      <c r="H20" s="0" t="n">
        <v>2</v>
      </c>
      <c r="I20" s="1" t="n">
        <v>1.5</v>
      </c>
      <c r="J20" s="1" t="n">
        <v>2</v>
      </c>
      <c r="K20" s="1" t="n">
        <v>2</v>
      </c>
    </row>
    <row r="21" customFormat="false" ht="13.8" hidden="false" customHeight="false" outlineLevel="0" collapsed="false">
      <c r="A21" s="0" t="s">
        <v>26</v>
      </c>
      <c r="B21" s="0" t="n">
        <f aca="false">_xlfn.CEILING.MATH(C21*40/16)/2</f>
        <v>7.5</v>
      </c>
      <c r="C21" s="1" t="n">
        <f aca="false">SUM(D21:K21)</f>
        <v>5.91666666666667</v>
      </c>
      <c r="D21" s="0" t="n">
        <v>0</v>
      </c>
      <c r="E21" s="0" t="n">
        <v>0</v>
      </c>
      <c r="F21" s="0" t="n">
        <v>1.5</v>
      </c>
      <c r="G21" s="0" t="n">
        <v>1</v>
      </c>
      <c r="H21" s="0" t="n">
        <v>0</v>
      </c>
      <c r="I21" s="1" t="n">
        <v>1.5</v>
      </c>
      <c r="J21" s="1" t="n">
        <v>0.666666666666667</v>
      </c>
      <c r="K21" s="1" t="n">
        <v>1.25</v>
      </c>
    </row>
    <row r="22" customFormat="false" ht="13.8" hidden="false" customHeight="false" outlineLevel="0" collapsed="false">
      <c r="A22" s="0" t="s">
        <v>27</v>
      </c>
      <c r="B22" s="0" t="n">
        <f aca="false">_xlfn.CEILING.MATH(C22*40/16)/2</f>
        <v>7</v>
      </c>
      <c r="C22" s="1" t="n">
        <f aca="false">SUM(D22:K22)</f>
        <v>5.25</v>
      </c>
      <c r="D22" s="0" t="n">
        <v>0.5</v>
      </c>
      <c r="E22" s="0" t="n">
        <v>0.75</v>
      </c>
      <c r="F22" s="0" t="n">
        <v>0.5</v>
      </c>
      <c r="G22" s="0" t="n">
        <v>1.5</v>
      </c>
      <c r="H22" s="0" t="n">
        <v>0</v>
      </c>
      <c r="I22" s="1" t="n">
        <v>2</v>
      </c>
      <c r="J22" s="1" t="n">
        <v>0</v>
      </c>
      <c r="K22" s="1" t="n">
        <v>0</v>
      </c>
    </row>
    <row r="23" customFormat="false" ht="13.8" hidden="false" customHeight="false" outlineLevel="0" collapsed="false">
      <c r="A23" s="0" t="s">
        <v>28</v>
      </c>
      <c r="B23" s="0" t="n">
        <f aca="false">_xlfn.CEILING.MATH(C23*40/16)/2</f>
        <v>20</v>
      </c>
      <c r="C23" s="1" t="n">
        <f aca="false">SUM(D23:K23)</f>
        <v>16</v>
      </c>
      <c r="D23" s="0" t="n">
        <v>2</v>
      </c>
      <c r="E23" s="0" t="n">
        <v>2</v>
      </c>
      <c r="F23" s="0" t="n">
        <v>2</v>
      </c>
      <c r="G23" s="0" t="n">
        <v>2</v>
      </c>
      <c r="H23" s="0" t="n">
        <v>2</v>
      </c>
      <c r="I23" s="1" t="n">
        <v>2</v>
      </c>
      <c r="J23" s="1" t="n">
        <v>2</v>
      </c>
      <c r="K23" s="1" t="n">
        <v>2</v>
      </c>
    </row>
    <row r="24" customFormat="false" ht="13.8" hidden="false" customHeight="false" outlineLevel="0" collapsed="false">
      <c r="A24" s="0" t="s">
        <v>29</v>
      </c>
      <c r="B24" s="0" t="n">
        <f aca="false">_xlfn.CEILING.MATH(C24*40/16)/2</f>
        <v>14.5</v>
      </c>
      <c r="C24" s="1" t="n">
        <f aca="false">SUM(D24:K24)</f>
        <v>11.5</v>
      </c>
      <c r="D24" s="0" t="n">
        <v>1.75</v>
      </c>
      <c r="E24" s="0" t="n">
        <v>1.75</v>
      </c>
      <c r="F24" s="0" t="n">
        <v>2</v>
      </c>
      <c r="G24" s="0" t="n">
        <v>1.5</v>
      </c>
      <c r="H24" s="0" t="n">
        <v>1</v>
      </c>
      <c r="I24" s="1" t="n">
        <v>1.5</v>
      </c>
      <c r="J24" s="1" t="n">
        <v>0</v>
      </c>
      <c r="K24" s="1" t="n">
        <v>2</v>
      </c>
    </row>
    <row r="25" customFormat="false" ht="13.8" hidden="false" customHeight="false" outlineLevel="0" collapsed="false">
      <c r="A25" s="0" t="s">
        <v>30</v>
      </c>
      <c r="B25" s="0" t="n">
        <f aca="false">_xlfn.CEILING.MATH(C25*40/16)/2</f>
        <v>11</v>
      </c>
      <c r="C25" s="1" t="n">
        <f aca="false">SUM(D25:K25)</f>
        <v>8.75</v>
      </c>
      <c r="D25" s="0" t="n">
        <v>1.5</v>
      </c>
      <c r="E25" s="0" t="n">
        <v>1</v>
      </c>
      <c r="F25" s="0" t="n">
        <v>1.5</v>
      </c>
      <c r="G25" s="0" t="n">
        <v>0.75</v>
      </c>
      <c r="H25" s="0" t="n">
        <v>1</v>
      </c>
      <c r="I25" s="1" t="n">
        <v>2</v>
      </c>
      <c r="J25" s="1" t="n">
        <v>0</v>
      </c>
      <c r="K25" s="1" t="n">
        <v>1</v>
      </c>
    </row>
    <row r="26" customFormat="false" ht="13.8" hidden="false" customHeight="false" outlineLevel="0" collapsed="false">
      <c r="A26" s="0" t="s">
        <v>31</v>
      </c>
      <c r="B26" s="0" t="n">
        <f aca="false">_xlfn.CEILING.MATH(C26*40/16)/2</f>
        <v>8.5</v>
      </c>
      <c r="C26" s="1" t="n">
        <f aca="false">SUM(D26:K26)</f>
        <v>6.75</v>
      </c>
      <c r="D26" s="0" t="n">
        <v>0.5</v>
      </c>
      <c r="E26" s="0" t="n">
        <v>1</v>
      </c>
      <c r="F26" s="0" t="n">
        <v>1</v>
      </c>
      <c r="G26" s="0" t="n">
        <v>0.75</v>
      </c>
      <c r="H26" s="0" t="n">
        <v>0.75</v>
      </c>
      <c r="I26" s="1" t="n">
        <v>1.25</v>
      </c>
      <c r="J26" s="1" t="n">
        <v>0</v>
      </c>
      <c r="K26" s="1" t="n">
        <v>1.5</v>
      </c>
      <c r="M26" s="0" t="s">
        <v>32</v>
      </c>
    </row>
    <row r="27" customFormat="false" ht="13.8" hidden="false" customHeight="false" outlineLevel="0" collapsed="false">
      <c r="A27" s="0" t="s">
        <v>33</v>
      </c>
      <c r="B27" s="0" t="n">
        <f aca="false">_xlfn.CEILING.MATH(C27*40/16)/2</f>
        <v>11.5</v>
      </c>
      <c r="C27" s="1" t="n">
        <f aca="false">SUM(D27:K27)</f>
        <v>9</v>
      </c>
      <c r="D27" s="0" t="n">
        <v>0.75</v>
      </c>
      <c r="E27" s="0" t="n">
        <v>1</v>
      </c>
      <c r="F27" s="0" t="n">
        <v>0</v>
      </c>
      <c r="G27" s="0" t="n">
        <v>1</v>
      </c>
      <c r="H27" s="0" t="n">
        <v>1.5</v>
      </c>
      <c r="I27" s="1" t="n">
        <v>1.75</v>
      </c>
      <c r="J27" s="1" t="n">
        <v>2</v>
      </c>
      <c r="K27" s="1" t="n">
        <v>1</v>
      </c>
    </row>
    <row r="28" customFormat="false" ht="13.8" hidden="false" customHeight="false" outlineLevel="0" collapsed="false">
      <c r="A28" s="0" t="s">
        <v>34</v>
      </c>
      <c r="B28" s="0" t="n">
        <f aca="false">_xlfn.CEILING.MATH(C28*40/16)/2</f>
        <v>9.5</v>
      </c>
      <c r="C28" s="1" t="n">
        <f aca="false">SUM(D28:K28)</f>
        <v>7.5</v>
      </c>
      <c r="D28" s="0" t="n">
        <v>1.5</v>
      </c>
      <c r="E28" s="0" t="n">
        <v>2</v>
      </c>
      <c r="F28" s="0" t="n">
        <v>0</v>
      </c>
      <c r="G28" s="0" t="n">
        <v>0.75</v>
      </c>
      <c r="H28" s="0" t="n">
        <v>0.75</v>
      </c>
      <c r="I28" s="1" t="n">
        <v>1.5</v>
      </c>
      <c r="J28" s="1" t="n">
        <v>0</v>
      </c>
      <c r="K28" s="1" t="n">
        <v>1</v>
      </c>
    </row>
    <row r="29" customFormat="false" ht="13.8" hidden="false" customHeight="false" outlineLevel="0" collapsed="false">
      <c r="A29" s="0" t="s">
        <v>35</v>
      </c>
      <c r="B29" s="0" t="n">
        <f aca="false">_xlfn.CEILING.MATH(C29*40/16)/2</f>
        <v>11</v>
      </c>
      <c r="C29" s="1" t="n">
        <f aca="false">SUM(D29:K29)</f>
        <v>8.66666666666667</v>
      </c>
      <c r="D29" s="0" t="n">
        <v>1</v>
      </c>
      <c r="E29" s="0" t="n">
        <v>0.5</v>
      </c>
      <c r="F29" s="0" t="n">
        <v>1.5</v>
      </c>
      <c r="G29" s="0" t="n">
        <v>0.75</v>
      </c>
      <c r="H29" s="0" t="n">
        <v>1.75</v>
      </c>
      <c r="I29" s="1" t="n">
        <v>1</v>
      </c>
      <c r="J29" s="1" t="n">
        <v>0.666666666666667</v>
      </c>
      <c r="K29" s="1" t="n">
        <v>1.5</v>
      </c>
      <c r="M29" s="0" t="s">
        <v>36</v>
      </c>
    </row>
    <row r="30" customFormat="false" ht="13.8" hidden="false" customHeight="false" outlineLevel="0" collapsed="false">
      <c r="A30" s="0" t="s">
        <v>37</v>
      </c>
      <c r="B30" s="0" t="n">
        <f aca="false">_xlfn.CEILING.MATH(C30*40/16)/2</f>
        <v>9.5</v>
      </c>
      <c r="C30" s="1" t="n">
        <f aca="false">SUM(D30:K30)</f>
        <v>7.5</v>
      </c>
      <c r="D30" s="0" t="n">
        <v>1</v>
      </c>
      <c r="E30" s="0" t="n">
        <v>1</v>
      </c>
      <c r="F30" s="0" t="n">
        <v>1.5</v>
      </c>
      <c r="G30" s="0" t="n">
        <v>1</v>
      </c>
      <c r="H30" s="0" t="n">
        <v>0.5</v>
      </c>
      <c r="I30" s="1" t="n">
        <v>2</v>
      </c>
      <c r="J30" s="1" t="n">
        <v>0</v>
      </c>
      <c r="K30" s="1" t="n">
        <v>0.5</v>
      </c>
    </row>
    <row r="31" customFormat="false" ht="13.8" hidden="false" customHeight="false" outlineLevel="0" collapsed="false">
      <c r="A31" s="0" t="s">
        <v>38</v>
      </c>
      <c r="B31" s="0" t="n">
        <f aca="false">_xlfn.CEILING.MATH(C31*40/16)/2</f>
        <v>14</v>
      </c>
      <c r="C31" s="1" t="n">
        <f aca="false">SUM(D31:K31)</f>
        <v>11.2</v>
      </c>
      <c r="D31" s="0" t="n">
        <v>2</v>
      </c>
      <c r="E31" s="0" t="n">
        <v>1.2</v>
      </c>
      <c r="F31" s="0" t="n">
        <v>1</v>
      </c>
      <c r="G31" s="0" t="n">
        <v>1.75</v>
      </c>
      <c r="H31" s="0" t="n">
        <v>1.5</v>
      </c>
      <c r="I31" s="1" t="n">
        <v>2</v>
      </c>
      <c r="J31" s="1" t="n">
        <v>0</v>
      </c>
      <c r="K31" s="1" t="n">
        <v>1.75</v>
      </c>
      <c r="M31" s="0" t="s">
        <v>39</v>
      </c>
    </row>
    <row r="32" customFormat="false" ht="13.8" hidden="false" customHeight="false" outlineLevel="0" collapsed="false">
      <c r="A32" s="0" t="s">
        <v>40</v>
      </c>
      <c r="B32" s="0" t="n">
        <f aca="false">_xlfn.CEILING.MATH(C32*40/16)/2</f>
        <v>16</v>
      </c>
      <c r="C32" s="1" t="n">
        <f aca="false">SUM(D32:K32)</f>
        <v>12.5</v>
      </c>
      <c r="D32" s="0" t="n">
        <v>1.5</v>
      </c>
      <c r="E32" s="0" t="n">
        <v>2</v>
      </c>
      <c r="F32" s="0" t="n">
        <v>1.25</v>
      </c>
      <c r="G32" s="0" t="n">
        <v>0.5</v>
      </c>
      <c r="H32" s="0" t="n">
        <v>1.5</v>
      </c>
      <c r="I32" s="1" t="n">
        <v>2</v>
      </c>
      <c r="J32" s="1" t="n">
        <v>2</v>
      </c>
      <c r="K32" s="1" t="n">
        <v>1.75</v>
      </c>
      <c r="M32" s="0" t="s">
        <v>41</v>
      </c>
    </row>
    <row r="33" customFormat="false" ht="13.8" hidden="false" customHeight="false" outlineLevel="0" collapsed="false">
      <c r="A33" s="0" t="s">
        <v>42</v>
      </c>
      <c r="B33" s="0" t="n">
        <f aca="false">_xlfn.CEILING.MATH(C33*40/16)/2</f>
        <v>16</v>
      </c>
      <c r="C33" s="1" t="n">
        <f aca="false">SUM(D33:K33)</f>
        <v>12.5</v>
      </c>
      <c r="D33" s="0" t="n">
        <v>2</v>
      </c>
      <c r="E33" s="0" t="n">
        <v>1.5</v>
      </c>
      <c r="F33" s="0" t="n">
        <v>2</v>
      </c>
      <c r="G33" s="0" t="n">
        <v>1.75</v>
      </c>
      <c r="H33" s="0" t="n">
        <v>1.75</v>
      </c>
      <c r="I33" s="1" t="n">
        <v>1.5</v>
      </c>
      <c r="J33" s="1" t="n">
        <v>0</v>
      </c>
      <c r="K33" s="1" t="n">
        <v>2</v>
      </c>
    </row>
    <row r="34" customFormat="false" ht="13.8" hidden="false" customHeight="false" outlineLevel="0" collapsed="false">
      <c r="A34" s="0" t="s">
        <v>43</v>
      </c>
      <c r="B34" s="0" t="n">
        <f aca="false">_xlfn.CEILING.MATH(C34*40/16)/2</f>
        <v>11</v>
      </c>
      <c r="C34" s="1" t="n">
        <f aca="false">SUM(D34:K34)</f>
        <v>8.75</v>
      </c>
      <c r="D34" s="0" t="n">
        <v>0.25</v>
      </c>
      <c r="E34" s="0" t="n">
        <v>0.5</v>
      </c>
      <c r="F34" s="0" t="n">
        <v>1.25</v>
      </c>
      <c r="G34" s="0" t="n">
        <v>1</v>
      </c>
      <c r="H34" s="0" t="n">
        <v>0.5</v>
      </c>
      <c r="I34" s="1" t="n">
        <v>2</v>
      </c>
      <c r="J34" s="1" t="n">
        <v>2</v>
      </c>
      <c r="K34" s="1" t="n">
        <v>1.25</v>
      </c>
    </row>
    <row r="35" customFormat="false" ht="13.8" hidden="false" customHeight="false" outlineLevel="0" collapsed="false">
      <c r="A35" s="0" t="s">
        <v>44</v>
      </c>
      <c r="B35" s="0" t="n">
        <f aca="false">_xlfn.CEILING.MATH(C35*40/16)/2</f>
        <v>16</v>
      </c>
      <c r="C35" s="1" t="n">
        <f aca="false">SUM(D35:K35)</f>
        <v>12.5</v>
      </c>
      <c r="D35" s="0" t="n">
        <v>1.5</v>
      </c>
      <c r="E35" s="0" t="n">
        <v>1</v>
      </c>
      <c r="F35" s="0" t="n">
        <v>1.5</v>
      </c>
      <c r="G35" s="0" t="n">
        <v>1.5</v>
      </c>
      <c r="H35" s="0" t="n">
        <v>1.5</v>
      </c>
      <c r="I35" s="1" t="n">
        <v>1.5</v>
      </c>
      <c r="J35" s="1" t="n">
        <v>2</v>
      </c>
      <c r="K35" s="1" t="n">
        <v>2</v>
      </c>
    </row>
    <row r="36" customFormat="false" ht="13.8" hidden="false" customHeight="false" outlineLevel="0" collapsed="false">
      <c r="A36" s="0" t="s">
        <v>45</v>
      </c>
      <c r="B36" s="0" t="n">
        <f aca="false">_xlfn.CEILING.MATH(C36*40/16)/2</f>
        <v>14.5</v>
      </c>
      <c r="C36" s="1" t="n">
        <f aca="false">SUM(D36:K36)</f>
        <v>11.5</v>
      </c>
      <c r="D36" s="0" t="n">
        <v>1</v>
      </c>
      <c r="E36" s="0" t="n">
        <v>1.25</v>
      </c>
      <c r="F36" s="0" t="n">
        <v>1</v>
      </c>
      <c r="G36" s="0" t="n">
        <v>1.75</v>
      </c>
      <c r="H36" s="0" t="n">
        <v>1</v>
      </c>
      <c r="I36" s="1" t="n">
        <v>1.5</v>
      </c>
      <c r="J36" s="1" t="n">
        <v>2</v>
      </c>
      <c r="K36" s="1" t="n">
        <v>2</v>
      </c>
      <c r="M36" s="0" t="s">
        <v>46</v>
      </c>
    </row>
    <row r="37" customFormat="false" ht="13.8" hidden="false" customHeight="false" outlineLevel="0" collapsed="false">
      <c r="A37" s="0" t="s">
        <v>47</v>
      </c>
      <c r="B37" s="0" t="n">
        <f aca="false">_xlfn.CEILING.MATH(C37*40/16)/2</f>
        <v>16</v>
      </c>
      <c r="C37" s="1" t="n">
        <f aca="false">SUM(D37:K37)</f>
        <v>12.75</v>
      </c>
      <c r="D37" s="0" t="n">
        <v>1.75</v>
      </c>
      <c r="E37" s="0" t="n">
        <v>1</v>
      </c>
      <c r="F37" s="0" t="n">
        <v>1.5</v>
      </c>
      <c r="G37" s="0" t="n">
        <v>1.5</v>
      </c>
      <c r="H37" s="0" t="n">
        <v>1.5</v>
      </c>
      <c r="I37" s="1" t="n">
        <v>1.5</v>
      </c>
      <c r="J37" s="1" t="n">
        <v>2</v>
      </c>
      <c r="K37" s="1" t="n">
        <v>2</v>
      </c>
      <c r="M37" s="0" t="s">
        <v>48</v>
      </c>
    </row>
    <row r="38" customFormat="false" ht="13.8" hidden="false" customHeight="false" outlineLevel="0" collapsed="false">
      <c r="A38" s="0" t="s">
        <v>49</v>
      </c>
      <c r="B38" s="0" t="n">
        <f aca="false">_xlfn.CEILING.MATH(C38*40/16)/2</f>
        <v>9.5</v>
      </c>
      <c r="C38" s="1" t="n">
        <f aca="false">SUM(D38:K38)</f>
        <v>7.5</v>
      </c>
      <c r="D38" s="0" t="n">
        <v>1</v>
      </c>
      <c r="E38" s="0" t="n">
        <v>1.25</v>
      </c>
      <c r="F38" s="0" t="n">
        <v>0.75</v>
      </c>
      <c r="G38" s="0" t="n">
        <v>1.25</v>
      </c>
      <c r="H38" s="0" t="n">
        <v>0.75</v>
      </c>
      <c r="I38" s="1" t="n">
        <v>1</v>
      </c>
      <c r="J38" s="1" t="n">
        <v>0</v>
      </c>
      <c r="K38" s="1" t="n">
        <v>1.5</v>
      </c>
      <c r="M38" s="0" t="s">
        <v>50</v>
      </c>
    </row>
    <row r="40" customFormat="false" ht="13.8" hidden="false" customHeight="false" outlineLevel="0" collapsed="false">
      <c r="B40" s="3" t="n">
        <f aca="false">AVERAGE(B3:B38)</f>
        <v>13.0277777777778</v>
      </c>
      <c r="C40" s="3" t="n">
        <f aca="false">AVERAGE(C3:C38)</f>
        <v>10.2378703703704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LibreOffice/7.0.3.1$MacOSX_X86_64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2021-02-08T08:59:11Z</dcterms:created>
  <dc:creator>Thomas Baudel</dc:creator>
  <dc:description/>
  <dc:language>en-US</dc:language>
  <cp:lastModifiedBy>Philippe Laborie</cp:lastModifiedBy>
  <dcterms:modified xsi:type="dcterms:W3CDTF">2021-02-09T12:31:56Z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