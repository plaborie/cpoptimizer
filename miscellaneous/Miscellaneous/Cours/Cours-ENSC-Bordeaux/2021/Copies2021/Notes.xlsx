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<sst xmlns="http://schemas.openxmlformats.org/spreadsheetml/2006/main" count="58" uniqueCount="58">
  <si>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Optim / 10</t>
  </si>
  <si>
    <t xml:space="preserve">Eleve</t>
  </si>
  <si>
    <t xml:space="preserve">Note (sur 16)</t>
  </si>
  <si>
    <t xml:space="preserve">6.a</t>
  </si>
  <si>
    <t xml:space="preserve">6.b</t>
  </si>
  <si>
    <t xml:space="preserve">6.c</t>
  </si>
  <si>
    <t xml:space="preserve">6.d</t>
  </si>
  <si>
    <t xml:space="preserve">7.a</t>
  </si>
  <si>
    <t xml:space="preserve">7.b</t>
  </si>
  <si>
    <t xml:space="preserve">7.c</t>
  </si>
  <si>
    <t xml:space="preserve">Adele Hugues</t>
  </si>
  <si>
    <t xml:space="preserve">Beaumian, Camille</t>
  </si>
  <si>
    <t xml:space="preserve">Beziau Eva</t>
  </si>
  <si>
    <t xml:space="preserve">BREGIER Lisa</t>
  </si>
  <si>
    <t xml:space="preserve">3.3: les intersections divisent le débit par 2</t>
  </si>
  <si>
    <t xml:space="preserve">Calice Laetitia</t>
  </si>
  <si>
    <t xml:space="preserve">Castellan Clément</t>
  </si>
  <si>
    <t xml:space="preserve">2: la complexité est en général sur le pire des cas.</t>
  </si>
  <si>
    <t xml:space="preserve">Caubet.Hippolyte</t>
  </si>
  <si>
    <t xml:space="preserve">Chalan Lucas</t>
  </si>
  <si>
    <t xml:space="preserve">Cittadini.Maelys</t>
  </si>
  <si>
    <t xml:space="preserve">conqui.antoine</t>
  </si>
  <si>
    <t xml:space="preserve">hugot.corentin</t>
  </si>
  <si>
    <t xml:space="preserve">retard</t>
  </si>
  <si>
    <t xml:space="preserve">Craspay Lucie</t>
  </si>
  <si>
    <t xml:space="preserve">2:TRI PAR SELECTION;3: question non répondue correctement, mais au moins vous n'avez pas copié.</t>
  </si>
  <si>
    <t xml:space="preserve">De Barros, Antoine</t>
  </si>
  <si>
    <t xml:space="preserve">3: question non répondue correctement, mais au moins vous n'avez pas copié.</t>
  </si>
  <si>
    <t xml:space="preserve">DIET Auriane</t>
  </si>
  <si>
    <t xml:space="preserve">Escoda.Héléna</t>
  </si>
  <si>
    <t xml:space="preserve">Félix, Esther</t>
  </si>
  <si>
    <t xml:space="preserve">Filosa</t>
  </si>
  <si>
    <t xml:space="preserve">Fleury</t>
  </si>
  <si>
    <t xml:space="preserve">Gonet-Mery, Jeanne</t>
  </si>
  <si>
    <t xml:space="preserve">Louit, Pauline</t>
  </si>
  <si>
    <t xml:space="preserve">GORBATOFF Alexane</t>
  </si>
  <si>
    <t xml:space="preserve">Guillemet Fanny</t>
  </si>
  <si>
    <t xml:space="preserve">HANRIO, Solène</t>
  </si>
  <si>
    <t xml:space="preserve">Henry_Dorine</t>
  </si>
  <si>
    <t xml:space="preserve">2: non, tri par sélectin</t>
  </si>
  <si>
    <t xml:space="preserve">JOUAULT Maurine</t>
  </si>
  <si>
    <t xml:space="preserve">Laisné, Gautier</t>
  </si>
  <si>
    <t xml:space="preserve">Lambert.solene</t>
  </si>
  <si>
    <t xml:space="preserve">2: dans les langages à base de règles, les règles sont e'xecutées tant qu'elles peuvent l'être.</t>
  </si>
  <si>
    <t xml:space="preserve">LEMOIGNE, Céline</t>
  </si>
  <si>
    <t xml:space="preserve">MATHIO, Noémie</t>
  </si>
  <si>
    <t xml:space="preserve">rédaction très informelle, mais les concepts sont compris.</t>
  </si>
  <si>
    <t xml:space="preserve">MORELLE, Marie</t>
  </si>
  <si>
    <t xml:space="preserve">3: Aimsum est pour la gestion du traffic, pas des tournées.</t>
  </si>
  <si>
    <t xml:space="preserve">Narcisse Nicolas</t>
  </si>
  <si>
    <t xml:space="preserve">TUCO Clara</t>
  </si>
  <si>
    <t xml:space="preserve">Vauchez Juliette</t>
  </si>
  <si>
    <t xml:space="preserve">VILLETTE.Lauriane</t>
  </si>
  <si>
    <t xml:space="preserve">2: tri par sélection. 3: citilog n'est pas concurrent ni C.</t>
  </si>
  <si>
    <t xml:space="preserve">Von Campe, Hugo</t>
  </si>
  <si>
    <t xml:space="preserve">2: pas linéaire, quadratique</t>
  </si>
  <si>
    <t xml:space="preserve">(Zak, Maud) ?</t>
  </si>
  <si>
    <t xml:space="preserve">3: pas des concurrents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</si>
</sst>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0" activeCellId="0" sqref="B40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32.86"/>
    <col collapsed="false" customWidth="true" hidden="false" outlineLevel="0" max="2" min="2" style="0" width="17.86"/>
    <col collapsed="false" customWidth="true" hidden="false" outlineLevel="0" max="12" min="12" style="0" width="12.75"/>
  </cols>
  <sheetData>
    <row r="1" customFormat="false" ht="13.8" hidden="false" customHeight="false" outlineLevel="0" collapsed="false">
      <c r="L1" s="0" t="s">
        <v>0</v>
      </c>
      <c r="M1" s="1" t="n">
        <v>6</v>
      </c>
      <c r="N1" s="1"/>
      <c r="O1" s="1"/>
      <c r="P1" s="1"/>
      <c r="Q1" s="1" t="n">
        <v>7</v>
      </c>
      <c r="R1" s="1"/>
      <c r="T1" s="2" t="n">
        <v>8</v>
      </c>
      <c r="U1" s="2"/>
    </row>
    <row r="2" customFormat="false" ht="13.8" hidden="false" customHeight="false" outlineLevel="0" collapsed="false">
      <c r="A2" s="0" t="s">
        <v>1</v>
      </c>
      <c r="B2" s="0" t="s">
        <v>2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M2" s="0" t="s">
        <v>3</v>
      </c>
      <c r="N2" s="0" t="s">
        <v>4</v>
      </c>
      <c r="O2" s="0" t="s">
        <v>5</v>
      </c>
      <c r="P2" s="0" t="s">
        <v>6</v>
      </c>
      <c r="Q2" s="0" t="s">
        <v>7</v>
      </c>
      <c r="R2" s="0" t="s">
        <v>8</v>
      </c>
      <c r="S2" s="0" t="s">
        <v>9</v>
      </c>
      <c r="T2" s="0" t="n">
        <v>8.1</v>
      </c>
      <c r="U2" s="0" t="n">
        <v>8.2</v>
      </c>
    </row>
    <row r="3" customFormat="false" ht="13.8" hidden="false" customHeight="false" outlineLevel="0" collapsed="false">
      <c r="A3" s="0" t="s">
        <v>10</v>
      </c>
      <c r="B3" s="3" t="n">
        <f aca="false">SUM(C3:J3)</f>
        <v>8.25</v>
      </c>
      <c r="C3" s="0" t="n">
        <v>1.25</v>
      </c>
      <c r="D3" s="0" t="n">
        <v>1.5</v>
      </c>
      <c r="E3" s="0" t="n">
        <v>0.5</v>
      </c>
      <c r="F3" s="0" t="n">
        <v>0</v>
      </c>
      <c r="G3" s="0" t="n">
        <v>1.5</v>
      </c>
      <c r="H3" s="3" t="n">
        <f aca="false">2*(M3+N3+O3+P3)/4</f>
        <v>2</v>
      </c>
      <c r="I3" s="3" t="n">
        <f aca="false">2*(Q3+R3+S3)/3</f>
        <v>0</v>
      </c>
      <c r="J3" s="3" t="n">
        <f aca="false">2*(T3+U3)/2</f>
        <v>1.5</v>
      </c>
      <c r="L3" s="4" t="n">
        <f aca="false">MIN(10,10*((M3+N3+O3+P3)/4 + (Q3+R3+S3)/3+(T3+U3)/2)/3)</f>
        <v>5.83333333333333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0.5</v>
      </c>
      <c r="U3" s="0" t="n">
        <v>1</v>
      </c>
    </row>
    <row r="4" customFormat="false" ht="15" hidden="false" customHeight="false" outlineLevel="0" collapsed="false">
      <c r="A4" s="5" t="s">
        <v>11</v>
      </c>
      <c r="B4" s="3" t="n">
        <f aca="false">SUM(C4:J4)</f>
        <v>10.91</v>
      </c>
      <c r="C4" s="0" t="n">
        <v>1</v>
      </c>
      <c r="D4" s="0" t="n">
        <v>1</v>
      </c>
      <c r="E4" s="0" t="n">
        <v>2</v>
      </c>
      <c r="F4" s="0" t="n">
        <v>0.66</v>
      </c>
      <c r="G4" s="0" t="n">
        <v>2</v>
      </c>
      <c r="H4" s="3" t="n">
        <f aca="false">2*(M4+N4+O4+P4)/4</f>
        <v>2</v>
      </c>
      <c r="I4" s="3" t="n">
        <f aca="false">2*(Q4+R4+S4)/3</f>
        <v>1</v>
      </c>
      <c r="J4" s="3" t="n">
        <f aca="false">2*(T4+U4)/2</f>
        <v>1.25</v>
      </c>
      <c r="L4" s="4" t="n">
        <f aca="false">MIN(10,10*((M4+N4+O4+P4)/4 + (Q4+R4+S4)/3+(T4+U4)/2)/3)</f>
        <v>7.08333333333333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0.5</v>
      </c>
      <c r="S4" s="0" t="n">
        <v>0</v>
      </c>
      <c r="T4" s="0" t="n">
        <v>0.5</v>
      </c>
      <c r="U4" s="0" t="n">
        <v>0.75</v>
      </c>
    </row>
    <row r="5" customFormat="false" ht="13.8" hidden="false" customHeight="false" outlineLevel="0" collapsed="false">
      <c r="A5" s="0" t="s">
        <v>12</v>
      </c>
      <c r="B5" s="3" t="n">
        <f aca="false">SUM(C5:J5)</f>
        <v>6.82</v>
      </c>
      <c r="C5" s="0" t="n">
        <v>1</v>
      </c>
      <c r="D5" s="0" t="n">
        <v>1.5</v>
      </c>
      <c r="E5" s="0" t="n">
        <v>0.66</v>
      </c>
      <c r="F5" s="0" t="n">
        <v>1</v>
      </c>
      <c r="G5" s="0" t="n">
        <v>0.66</v>
      </c>
      <c r="H5" s="3" t="n">
        <f aca="false">2*(M5+N5+O5+P5)/4</f>
        <v>2</v>
      </c>
      <c r="I5" s="3" t="n">
        <f aca="false">2*(Q5+R5+S5)/3</f>
        <v>0</v>
      </c>
      <c r="J5" s="3" t="n">
        <f aca="false">2*(T5+U5)/2</f>
        <v>0</v>
      </c>
      <c r="L5" s="4" t="n">
        <f aca="false">MIN(10,10*((M5+N5+O5+P5)/4 + (Q5+R5+S5)/3+(T5+U5)/2)/3)</f>
        <v>3.33333333333333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3.8" hidden="false" customHeight="false" outlineLevel="0" collapsed="false">
      <c r="A6" s="0" t="s">
        <v>13</v>
      </c>
      <c r="B6" s="3" t="n">
        <f aca="false">SUM(C6:J6)</f>
        <v>12.5</v>
      </c>
      <c r="C6" s="0" t="n">
        <v>2</v>
      </c>
      <c r="D6" s="0" t="n">
        <v>2</v>
      </c>
      <c r="E6" s="0" t="n">
        <v>2</v>
      </c>
      <c r="F6" s="0" t="n">
        <v>1.75</v>
      </c>
      <c r="G6" s="0" t="n">
        <v>0.5</v>
      </c>
      <c r="H6" s="3" t="n">
        <f aca="false">2*(M6+N6+O6+P6)/4</f>
        <v>1.75</v>
      </c>
      <c r="I6" s="3" t="n">
        <f aca="false">2*(Q6+R6+S6)/3</f>
        <v>2</v>
      </c>
      <c r="J6" s="3" t="n">
        <f aca="false">2*(T6+U6)/2</f>
        <v>0.5</v>
      </c>
      <c r="L6" s="4" t="n">
        <f aca="false">MIN(10,10*((M6+N6+O6+P6)/4 + (Q6+R6+S6)/3+(T6+U6)/2)/3)</f>
        <v>7.08333333333333</v>
      </c>
      <c r="M6" s="0" t="n">
        <v>1</v>
      </c>
      <c r="N6" s="0" t="n">
        <v>1</v>
      </c>
      <c r="O6" s="0" t="n">
        <v>1.5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0.5</v>
      </c>
      <c r="W6" s="0" t="s">
        <v>14</v>
      </c>
    </row>
    <row r="7" customFormat="false" ht="13.8" hidden="false" customHeight="false" outlineLevel="0" collapsed="false">
      <c r="A7" s="0" t="s">
        <v>15</v>
      </c>
      <c r="B7" s="3" t="n">
        <f aca="false">SUM(C7:J7)</f>
        <v>9.35</v>
      </c>
      <c r="C7" s="0" t="n">
        <v>0.6</v>
      </c>
      <c r="D7" s="0" t="n">
        <v>1</v>
      </c>
      <c r="E7" s="0" t="n">
        <v>1.75</v>
      </c>
      <c r="F7" s="0" t="n">
        <v>1</v>
      </c>
      <c r="G7" s="0" t="n">
        <v>1</v>
      </c>
      <c r="H7" s="3" t="n">
        <f aca="false">2*(M7+N7+O7+P7)/4</f>
        <v>1.5</v>
      </c>
      <c r="I7" s="3" t="n">
        <f aca="false">2*(Q7+R7+S7)/3</f>
        <v>2</v>
      </c>
      <c r="J7" s="3" t="n">
        <f aca="false">2*(T7+U7)/2</f>
        <v>0.5</v>
      </c>
      <c r="L7" s="4" t="n">
        <f aca="false">MIN(10,10*((M7+N7+O7+P7)/4 + (Q7+R7+S7)/3+(T7+U7)/2)/3)</f>
        <v>6.66666666666667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0.5</v>
      </c>
    </row>
    <row r="8" customFormat="false" ht="13.8" hidden="false" customHeight="false" outlineLevel="0" collapsed="false">
      <c r="A8" s="0" t="s">
        <v>16</v>
      </c>
      <c r="B8" s="3" t="n">
        <f aca="false">SUM(C8:J8)</f>
        <v>15</v>
      </c>
      <c r="C8" s="0" t="n">
        <v>2</v>
      </c>
      <c r="D8" s="0" t="n">
        <v>1.5</v>
      </c>
      <c r="E8" s="0" t="n">
        <v>2</v>
      </c>
      <c r="F8" s="0" t="n">
        <v>1.5</v>
      </c>
      <c r="G8" s="0" t="n">
        <v>2</v>
      </c>
      <c r="H8" s="3" t="n">
        <f aca="false">2*(M8+N8+O8+P8)/4</f>
        <v>2</v>
      </c>
      <c r="I8" s="3" t="n">
        <f aca="false">2*(Q8+R8+S8)/3</f>
        <v>2</v>
      </c>
      <c r="J8" s="3" t="n">
        <f aca="false">2*(T8+U8)/2</f>
        <v>2</v>
      </c>
      <c r="L8" s="4" t="n">
        <f aca="false">MIN(10,10*((M8+N8+O8+P8)/4 + (Q8+R8+S8)/3+(T8+U8)/2)/3)</f>
        <v>10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W8" s="0" t="s">
        <v>17</v>
      </c>
    </row>
    <row r="9" customFormat="false" ht="13.8" hidden="false" customHeight="false" outlineLevel="0" collapsed="false">
      <c r="A9" s="0" t="s">
        <v>18</v>
      </c>
      <c r="B9" s="3" t="n">
        <f aca="false">SUM(C9:J9)</f>
        <v>14.0833333333333</v>
      </c>
      <c r="C9" s="0" t="n">
        <v>2</v>
      </c>
      <c r="D9" s="0" t="n">
        <v>2</v>
      </c>
      <c r="E9" s="0" t="n">
        <v>1.75</v>
      </c>
      <c r="F9" s="0" t="n">
        <v>1.5</v>
      </c>
      <c r="G9" s="0" t="n">
        <v>1.75</v>
      </c>
      <c r="H9" s="3" t="n">
        <f aca="false">2*(M9+N9+O9+P9)/4</f>
        <v>2</v>
      </c>
      <c r="I9" s="3" t="n">
        <f aca="false">2*(Q9+R9+S9)/3</f>
        <v>1.83333333333333</v>
      </c>
      <c r="J9" s="3" t="n">
        <f aca="false">2*(T9+U9)/2</f>
        <v>1.25</v>
      </c>
      <c r="L9" s="4" t="n">
        <f aca="false">MIN(10,10*((M9+N9+O9+P9)/4 + (Q9+R9+S9)/3+(T9+U9)/2)/3)</f>
        <v>8.47222222222222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0.75</v>
      </c>
      <c r="S9" s="0" t="n">
        <v>1</v>
      </c>
      <c r="T9" s="0" t="n">
        <v>0.5</v>
      </c>
      <c r="U9" s="0" t="n">
        <v>0.75</v>
      </c>
    </row>
    <row r="10" customFormat="false" ht="13.8" hidden="false" customHeight="false" outlineLevel="0" collapsed="false">
      <c r="A10" s="0" t="s">
        <v>19</v>
      </c>
      <c r="B10" s="3" t="n">
        <f aca="false">SUM(C10:J10)</f>
        <v>10.75</v>
      </c>
      <c r="C10" s="0" t="n">
        <v>1</v>
      </c>
      <c r="D10" s="0" t="n">
        <v>1.75</v>
      </c>
      <c r="E10" s="0" t="n">
        <v>2</v>
      </c>
      <c r="F10" s="0" t="n">
        <v>1.25</v>
      </c>
      <c r="G10" s="0" t="n">
        <v>1</v>
      </c>
      <c r="H10" s="3" t="n">
        <f aca="false">2*(M10+N10+O10+P10)/4</f>
        <v>1.5</v>
      </c>
      <c r="I10" s="3" t="n">
        <f aca="false">2*(Q10+R10+S10)/3</f>
        <v>1</v>
      </c>
      <c r="J10" s="3" t="n">
        <f aca="false">2*(T10+U10)/2</f>
        <v>1.25</v>
      </c>
      <c r="L10" s="4" t="n">
        <f aca="false">MIN(10,10*((M10+N10+O10+P10)/4 + (Q10+R10+S10)/3+(T10+U10)/2)/3)</f>
        <v>6.25</v>
      </c>
      <c r="M10" s="0" t="n">
        <v>1</v>
      </c>
      <c r="N10" s="0" t="n">
        <v>1</v>
      </c>
      <c r="O10" s="0" t="n">
        <v>0</v>
      </c>
      <c r="P10" s="0" t="n">
        <v>1</v>
      </c>
      <c r="Q10" s="0" t="n">
        <v>1</v>
      </c>
      <c r="R10" s="0" t="n">
        <v>0</v>
      </c>
      <c r="S10" s="0" t="n">
        <v>0.5</v>
      </c>
      <c r="T10" s="0" t="n">
        <v>0.5</v>
      </c>
      <c r="U10" s="0" t="n">
        <v>0.75</v>
      </c>
    </row>
    <row r="11" customFormat="false" ht="13.8" hidden="false" customHeight="false" outlineLevel="0" collapsed="false">
      <c r="A11" s="0" t="s">
        <v>20</v>
      </c>
      <c r="B11" s="3" t="n">
        <f aca="false">SUM(C11:J11)</f>
        <v>9.61666666666667</v>
      </c>
      <c r="C11" s="0" t="n">
        <v>0.6</v>
      </c>
      <c r="D11" s="0" t="n">
        <v>0.6</v>
      </c>
      <c r="E11" s="0" t="n">
        <v>2</v>
      </c>
      <c r="F11" s="0" t="n">
        <v>1</v>
      </c>
      <c r="G11" s="0" t="n">
        <v>1</v>
      </c>
      <c r="H11" s="3" t="n">
        <f aca="false">2*(M11+N11+O11+P11)/4</f>
        <v>2</v>
      </c>
      <c r="I11" s="3" t="n">
        <f aca="false">2*(Q11+R11+S11)/3</f>
        <v>0.666666666666667</v>
      </c>
      <c r="J11" s="3" t="n">
        <f aca="false">2*(T11+U11)/2</f>
        <v>1.75</v>
      </c>
      <c r="L11" s="4" t="n">
        <f aca="false">MIN(10,10*((M11+N11+O11+P11)/4 + (Q11+R11+S11)/3+(T11+U11)/2)/3)</f>
        <v>7.36111111111111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1</v>
      </c>
      <c r="U11" s="0" t="n">
        <v>0.75</v>
      </c>
    </row>
    <row r="12" customFormat="false" ht="13.8" hidden="false" customHeight="false" outlineLevel="0" collapsed="false">
      <c r="A12" s="0" t="s">
        <v>21</v>
      </c>
      <c r="B12" s="3" t="n">
        <f aca="false">SUM(C12:J12)</f>
        <v>7.66666666666667</v>
      </c>
      <c r="C12" s="0" t="n">
        <v>1.5</v>
      </c>
      <c r="D12" s="0" t="n">
        <v>1.75</v>
      </c>
      <c r="E12" s="0" t="n">
        <v>0</v>
      </c>
      <c r="F12" s="0" t="n">
        <v>0.75</v>
      </c>
      <c r="G12" s="0" t="n">
        <v>1</v>
      </c>
      <c r="H12" s="3" t="n">
        <f aca="false">2*(M12+N12+O12+P12)/4</f>
        <v>2</v>
      </c>
      <c r="I12" s="3" t="n">
        <f aca="false">2*(Q12+R12+S12)/3</f>
        <v>0.666666666666667</v>
      </c>
      <c r="J12" s="3" t="n">
        <f aca="false">2*(T12+U12)/2</f>
        <v>0</v>
      </c>
      <c r="L12" s="4" t="n">
        <f aca="false">MIN(10,10*((M12+N12+O12+P12)/4 + (Q12+R12+S12)/3+(T12+U12)/2)/3)</f>
        <v>4.44444444444444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3.8" hidden="false" customHeight="false" outlineLevel="0" collapsed="false">
      <c r="A13" s="0" t="s">
        <v>22</v>
      </c>
      <c r="B13" s="3" t="n">
        <f aca="false">SUM(C13:J13)</f>
        <v>12.1666666666667</v>
      </c>
      <c r="C13" s="0" t="n">
        <v>1.5</v>
      </c>
      <c r="D13" s="0" t="n">
        <v>1.75</v>
      </c>
      <c r="E13" s="0" t="n">
        <v>2</v>
      </c>
      <c r="F13" s="0" t="n">
        <v>1</v>
      </c>
      <c r="G13" s="0" t="n">
        <v>0.75</v>
      </c>
      <c r="H13" s="3" t="n">
        <f aca="false">2*(M13+N13+O13+P13)/4</f>
        <v>2</v>
      </c>
      <c r="I13" s="3" t="n">
        <f aca="false">2*(Q13+R13+S13)/3</f>
        <v>0.666666666666667</v>
      </c>
      <c r="J13" s="3" t="n">
        <f aca="false">2*(T13+U13)/2</f>
        <v>2.5</v>
      </c>
      <c r="L13" s="4" t="n">
        <f aca="false">MIN(10,10*((M13+N13+O13+P13)/4 + (Q13+R13+S13)/3+(T13+U13)/2)/3)</f>
        <v>8.61111111111111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1</v>
      </c>
      <c r="U13" s="0" t="n">
        <v>1.5</v>
      </c>
      <c r="W13" s="0" t="s">
        <v>23</v>
      </c>
    </row>
    <row r="14" customFormat="false" ht="13.8" hidden="false" customHeight="false" outlineLevel="0" collapsed="false">
      <c r="A14" s="0" t="s">
        <v>24</v>
      </c>
      <c r="B14" s="3" t="n">
        <f aca="false">SUM(C14:J14)</f>
        <v>12.25</v>
      </c>
      <c r="C14" s="0" t="n">
        <v>1</v>
      </c>
      <c r="D14" s="0" t="n">
        <v>1.5</v>
      </c>
      <c r="E14" s="0" t="n">
        <v>1</v>
      </c>
      <c r="F14" s="0" t="n">
        <v>1.75</v>
      </c>
      <c r="G14" s="0" t="n">
        <v>1</v>
      </c>
      <c r="H14" s="3" t="n">
        <f aca="false">2*(M14+N14+O14+P14)/4</f>
        <v>2</v>
      </c>
      <c r="I14" s="3" t="n">
        <f aca="false">2*(Q14+R14+S14)/3</f>
        <v>2</v>
      </c>
      <c r="J14" s="3" t="n">
        <f aca="false">2*(T14+U14)/2</f>
        <v>2</v>
      </c>
      <c r="L14" s="4" t="n">
        <f aca="false">MIN(10,10*((M14+N14+O14+P14)/4 + (Q14+R14+S14)/3+(T14+U14)/2)/3)</f>
        <v>10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W14" s="0" t="s">
        <v>25</v>
      </c>
    </row>
    <row r="15" customFormat="false" ht="13.8" hidden="false" customHeight="false" outlineLevel="0" collapsed="false">
      <c r="A15" s="0" t="s">
        <v>26</v>
      </c>
      <c r="B15" s="3" t="n">
        <f aca="false">SUM(C15:J15)</f>
        <v>9.75</v>
      </c>
      <c r="C15" s="0" t="n">
        <v>1.5</v>
      </c>
      <c r="D15" s="0" t="n">
        <v>1</v>
      </c>
      <c r="E15" s="0" t="n">
        <v>1</v>
      </c>
      <c r="F15" s="0" t="n">
        <v>0.75</v>
      </c>
      <c r="G15" s="0" t="n">
        <v>1</v>
      </c>
      <c r="H15" s="3" t="n">
        <f aca="false">2*(M15+N15+O15+P15)/4</f>
        <v>2</v>
      </c>
      <c r="I15" s="3" t="n">
        <f aca="false">2*(Q15+R15+S15)/3</f>
        <v>1</v>
      </c>
      <c r="J15" s="3" t="n">
        <f aca="false">2*(T15+U15)/2</f>
        <v>1.5</v>
      </c>
      <c r="L15" s="4" t="n">
        <f aca="false">MIN(10,10*((M15+N15+O15+P15)/4 + (Q15+R15+S15)/3+(T15+U15)/2)/3)</f>
        <v>7.5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0.5</v>
      </c>
      <c r="S15" s="0" t="n">
        <v>0</v>
      </c>
      <c r="T15" s="0" t="n">
        <v>0.5</v>
      </c>
      <c r="U15" s="0" t="n">
        <v>1</v>
      </c>
      <c r="W15" s="0" t="s">
        <v>27</v>
      </c>
    </row>
    <row r="16" customFormat="false" ht="13.8" hidden="false" customHeight="false" outlineLevel="0" collapsed="false">
      <c r="A16" s="0" t="s">
        <v>28</v>
      </c>
      <c r="B16" s="3" t="n">
        <f aca="false">SUM(C16:J16)</f>
        <v>8.16666666666667</v>
      </c>
      <c r="C16" s="0" t="n">
        <v>0.75</v>
      </c>
      <c r="D16" s="0" t="n">
        <v>0.5</v>
      </c>
      <c r="E16" s="0" t="n">
        <v>1.5</v>
      </c>
      <c r="F16" s="0" t="n">
        <v>1</v>
      </c>
      <c r="G16" s="0" t="n">
        <v>0.75</v>
      </c>
      <c r="H16" s="3" t="n">
        <f aca="false">2*(M16+N16+O16+P16)/4</f>
        <v>1.25</v>
      </c>
      <c r="I16" s="3" t="n">
        <f aca="false">2*(Q16+R16+S16)/3</f>
        <v>0.666666666666667</v>
      </c>
      <c r="J16" s="3" t="n">
        <f aca="false">2*(T16+U16)/2</f>
        <v>1.75</v>
      </c>
      <c r="L16" s="4" t="n">
        <f aca="false">MIN(10,10*((M16+N16+O16+P16)/4 + (Q16+R16+S16)/3+(T16+U16)/2)/3)</f>
        <v>6.11111111111111</v>
      </c>
      <c r="M16" s="0" t="n">
        <v>1.5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0.75</v>
      </c>
      <c r="U16" s="0" t="n">
        <v>1</v>
      </c>
    </row>
    <row r="17" customFormat="false" ht="13.8" hidden="false" customHeight="false" outlineLevel="0" collapsed="false">
      <c r="A17" s="0" t="s">
        <v>29</v>
      </c>
      <c r="B17" s="3" t="n">
        <f aca="false">SUM(C17:J17)</f>
        <v>10.75</v>
      </c>
      <c r="C17" s="0" t="n">
        <v>1.25</v>
      </c>
      <c r="D17" s="0" t="n">
        <v>1</v>
      </c>
      <c r="E17" s="0" t="n">
        <v>1</v>
      </c>
      <c r="F17" s="0" t="n">
        <v>0.75</v>
      </c>
      <c r="G17" s="0" t="n">
        <v>0.75</v>
      </c>
      <c r="H17" s="3" t="n">
        <f aca="false">2*(M17+N17+O17+P17)/4</f>
        <v>2</v>
      </c>
      <c r="I17" s="3" t="n">
        <f aca="false">2*(Q17+R17+S17)/3</f>
        <v>2</v>
      </c>
      <c r="J17" s="3" t="n">
        <f aca="false">2*(T17+U17)/2</f>
        <v>2</v>
      </c>
      <c r="L17" s="4" t="n">
        <f aca="false">MIN(10,10*((M17+N17+O17+P17)/4 + (Q17+R17+S17)/3+(T17+U17)/2)/3)</f>
        <v>10</v>
      </c>
      <c r="M17" s="0" t="n">
        <v>1.5</v>
      </c>
      <c r="N17" s="0" t="n">
        <v>0</v>
      </c>
      <c r="O17" s="0" t="n">
        <v>1.5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</row>
    <row r="18" customFormat="false" ht="13.8" hidden="false" customHeight="false" outlineLevel="0" collapsed="false">
      <c r="A18" s="0" t="s">
        <v>30</v>
      </c>
      <c r="B18" s="3" t="n">
        <f aca="false">SUM(C18:J18)</f>
        <v>11</v>
      </c>
      <c r="C18" s="0" t="n">
        <v>0.75</v>
      </c>
      <c r="D18" s="0" t="n">
        <v>1.75</v>
      </c>
      <c r="E18" s="0" t="n">
        <v>0</v>
      </c>
      <c r="F18" s="0" t="n">
        <v>0.75</v>
      </c>
      <c r="G18" s="0" t="n">
        <v>1.75</v>
      </c>
      <c r="H18" s="3" t="n">
        <f aca="false">2*(M18+N18+O18+P18)/4</f>
        <v>2</v>
      </c>
      <c r="I18" s="3" t="n">
        <f aca="false">2*(Q18+R18+S18)/3</f>
        <v>2</v>
      </c>
      <c r="J18" s="3" t="n">
        <f aca="false">2*(T18+U18)/2</f>
        <v>2</v>
      </c>
      <c r="L18" s="4" t="n">
        <f aca="false">MIN(10,10*((M18+N18+O18+P18)/4 + (Q18+R18+S18)/3+(T18+U18)/2)/3)</f>
        <v>10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</row>
    <row r="19" customFormat="false" ht="13.8" hidden="false" customHeight="false" outlineLevel="0" collapsed="false">
      <c r="A19" s="0" t="s">
        <v>31</v>
      </c>
      <c r="B19" s="3" t="n">
        <f aca="false">SUM(C19:J19)</f>
        <v>8.25</v>
      </c>
      <c r="C19" s="0" t="n">
        <v>1</v>
      </c>
      <c r="D19" s="0" t="n">
        <v>1.25</v>
      </c>
      <c r="E19" s="0" t="n">
        <v>1.5</v>
      </c>
      <c r="F19" s="0" t="n">
        <v>0.75</v>
      </c>
      <c r="G19" s="0" t="n">
        <v>0.5</v>
      </c>
      <c r="H19" s="3" t="n">
        <f aca="false">2*(M19+N19+O19+P19)/4</f>
        <v>2</v>
      </c>
      <c r="I19" s="3" t="n">
        <f aca="false">2*(Q19+R19+S19)/3</f>
        <v>0</v>
      </c>
      <c r="J19" s="3" t="n">
        <f aca="false">2*(T19+U19)/2</f>
        <v>1.25</v>
      </c>
      <c r="L19" s="4" t="n">
        <f aca="false">MIN(10,10*((M19+N19+O19+P19)/4 + (Q19+R19+S19)/3+(T19+U19)/2)/3)</f>
        <v>5.41666666666667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0.5</v>
      </c>
      <c r="U19" s="0" t="n">
        <v>0.75</v>
      </c>
    </row>
    <row r="20" customFormat="false" ht="13.8" hidden="false" customHeight="false" outlineLevel="0" collapsed="false">
      <c r="A20" s="0" t="s">
        <v>32</v>
      </c>
      <c r="B20" s="3" t="n">
        <f aca="false">SUM(C20:J20)</f>
        <v>15.25</v>
      </c>
      <c r="C20" s="0" t="n">
        <v>2</v>
      </c>
      <c r="D20" s="0" t="n">
        <v>2</v>
      </c>
      <c r="E20" s="0" t="n">
        <v>2</v>
      </c>
      <c r="F20" s="0" t="n">
        <v>1.75</v>
      </c>
      <c r="G20" s="0" t="n">
        <v>2</v>
      </c>
      <c r="H20" s="3" t="n">
        <f aca="false">2*(M20+N20+O20+P20)/4</f>
        <v>1.5</v>
      </c>
      <c r="I20" s="3" t="n">
        <f aca="false">2*(Q20+R20+S20)/3</f>
        <v>2</v>
      </c>
      <c r="J20" s="3" t="n">
        <f aca="false">2*(T20+U20)/2</f>
        <v>2</v>
      </c>
      <c r="L20" s="4" t="n">
        <f aca="false">MIN(10,10*((M20+N20+O20+P20)/4 + (Q20+R20+S20)/3+(T20+U20)/2)/3)</f>
        <v>9.16666666666667</v>
      </c>
      <c r="M20" s="0" t="n">
        <v>1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</row>
    <row r="21" customFormat="false" ht="13.8" hidden="false" customHeight="false" outlineLevel="0" collapsed="false">
      <c r="A21" s="0" t="s">
        <v>33</v>
      </c>
      <c r="B21" s="3" t="n">
        <f aca="false">SUM(C21:J21)</f>
        <v>5.91666666666667</v>
      </c>
      <c r="C21" s="0" t="n">
        <v>0</v>
      </c>
      <c r="D21" s="0" t="n">
        <v>0</v>
      </c>
      <c r="E21" s="0" t="n">
        <v>1.5</v>
      </c>
      <c r="F21" s="0" t="n">
        <v>1</v>
      </c>
      <c r="G21" s="0" t="n">
        <v>0</v>
      </c>
      <c r="H21" s="3" t="n">
        <f aca="false">2*(M21+N21+O21+P21)/4</f>
        <v>1.5</v>
      </c>
      <c r="I21" s="3" t="n">
        <f aca="false">2*(Q21+R21+S21)/3</f>
        <v>0.666666666666667</v>
      </c>
      <c r="J21" s="3" t="n">
        <f aca="false">2*(T21+U21)/2</f>
        <v>1.25</v>
      </c>
      <c r="L21" s="4" t="n">
        <f aca="false">MIN(10,10*((M21+N21+O21+P21)/4 + (Q21+R21+S21)/3+(T21+U21)/2)/3)</f>
        <v>5.69444444444444</v>
      </c>
      <c r="M21" s="0" t="n">
        <v>1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0.25</v>
      </c>
      <c r="U21" s="0" t="n">
        <v>1</v>
      </c>
    </row>
    <row r="22" customFormat="false" ht="13.8" hidden="false" customHeight="false" outlineLevel="0" collapsed="false">
      <c r="A22" s="0" t="s">
        <v>34</v>
      </c>
      <c r="B22" s="3" t="n">
        <f aca="false">SUM(C22:J22)</f>
        <v>5.25</v>
      </c>
      <c r="C22" s="0" t="n">
        <v>0.5</v>
      </c>
      <c r="D22" s="0" t="n">
        <v>0.75</v>
      </c>
      <c r="E22" s="0" t="n">
        <v>0.5</v>
      </c>
      <c r="F22" s="0" t="n">
        <v>1.5</v>
      </c>
      <c r="G22" s="0" t="n">
        <v>0</v>
      </c>
      <c r="H22" s="3" t="n">
        <f aca="false">2*(M22+N22+O22+P22)/4</f>
        <v>2</v>
      </c>
      <c r="I22" s="3" t="n">
        <f aca="false">2*(Q22+R22+S22)/3</f>
        <v>0</v>
      </c>
      <c r="J22" s="3" t="n">
        <f aca="false">2*(T22+U22)/2</f>
        <v>0</v>
      </c>
      <c r="L22" s="4" t="n">
        <f aca="false">MIN(10,10*((M22+N22+O22+P22)/4 + (Q22+R22+S22)/3+(T22+U22)/2)/3)</f>
        <v>3.33333333333333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3.8" hidden="false" customHeight="false" outlineLevel="0" collapsed="false">
      <c r="A23" s="0" t="s">
        <v>35</v>
      </c>
      <c r="B23" s="3" t="n">
        <f aca="false">SUM(C23:J23)</f>
        <v>16</v>
      </c>
      <c r="C23" s="0" t="n">
        <v>2</v>
      </c>
      <c r="D23" s="0" t="n">
        <v>2</v>
      </c>
      <c r="E23" s="0" t="n">
        <v>2</v>
      </c>
      <c r="F23" s="0" t="n">
        <v>2</v>
      </c>
      <c r="G23" s="0" t="n">
        <v>2</v>
      </c>
      <c r="H23" s="3" t="n">
        <f aca="false">2*(M23+N23+O23+P23)/4</f>
        <v>2</v>
      </c>
      <c r="I23" s="3" t="n">
        <f aca="false">2*(Q23+R23+S23)/3</f>
        <v>2</v>
      </c>
      <c r="J23" s="3" t="n">
        <f aca="false">2*(T23+U23)/2</f>
        <v>2</v>
      </c>
      <c r="L23" s="4" t="n">
        <f aca="false">MIN(10,10*((M23+N23+O23+P23)/4 + (Q23+R23+S23)/3+(T23+U23)/2)/3)</f>
        <v>10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</row>
    <row r="24" customFormat="false" ht="13.8" hidden="false" customHeight="false" outlineLevel="0" collapsed="false">
      <c r="A24" s="0" t="s">
        <v>36</v>
      </c>
      <c r="B24" s="3" t="n">
        <f aca="false">SUM(C24:J24)</f>
        <v>11.5</v>
      </c>
      <c r="C24" s="0" t="n">
        <v>1.75</v>
      </c>
      <c r="D24" s="0" t="n">
        <v>1.75</v>
      </c>
      <c r="E24" s="0" t="n">
        <v>2</v>
      </c>
      <c r="F24" s="0" t="n">
        <v>1.5</v>
      </c>
      <c r="G24" s="0" t="n">
        <v>1</v>
      </c>
      <c r="H24" s="3" t="n">
        <f aca="false">2*(M24+N24+O24+P24)/4</f>
        <v>1.5</v>
      </c>
      <c r="I24" s="3" t="n">
        <f aca="false">2*(Q24+R24+S24)/3</f>
        <v>0</v>
      </c>
      <c r="J24" s="3" t="n">
        <f aca="false">2*(T24+U24)/2</f>
        <v>2</v>
      </c>
      <c r="L24" s="4" t="n">
        <f aca="false">MIN(10,10*((M24+N24+O24+P24)/4 + (Q24+R24+S24)/3+(T24+U24)/2)/3)</f>
        <v>5.83333333333333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</row>
    <row r="25" customFormat="false" ht="13.8" hidden="false" customHeight="false" outlineLevel="0" collapsed="false">
      <c r="A25" s="0" t="s">
        <v>37</v>
      </c>
      <c r="B25" s="3" t="n">
        <f aca="false">SUM(C25:J25)</f>
        <v>8.75</v>
      </c>
      <c r="C25" s="0" t="n">
        <v>1.5</v>
      </c>
      <c r="D25" s="0" t="n">
        <v>1</v>
      </c>
      <c r="E25" s="0" t="n">
        <v>1.5</v>
      </c>
      <c r="F25" s="0" t="n">
        <v>0.75</v>
      </c>
      <c r="G25" s="0" t="n">
        <v>1</v>
      </c>
      <c r="H25" s="3" t="n">
        <f aca="false">2*(M25+N25+O25+P25)/4</f>
        <v>2</v>
      </c>
      <c r="I25" s="3" t="n">
        <f aca="false">2*(Q25+R25+S25)/3</f>
        <v>0</v>
      </c>
      <c r="J25" s="3" t="n">
        <f aca="false">2*(T25+U25)/2</f>
        <v>1</v>
      </c>
      <c r="L25" s="4" t="n">
        <f aca="false">MIN(10,10*((M25+N25+O25+P25)/4 + (Q25+R25+S25)/3+(T25+U25)/2)/3)</f>
        <v>5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0.5</v>
      </c>
      <c r="U25" s="0" t="n">
        <v>0.5</v>
      </c>
    </row>
    <row r="26" customFormat="false" ht="13.8" hidden="false" customHeight="false" outlineLevel="0" collapsed="false">
      <c r="A26" s="0" t="s">
        <v>38</v>
      </c>
      <c r="B26" s="3" t="n">
        <f aca="false">SUM(C26:J26)</f>
        <v>6.75</v>
      </c>
      <c r="C26" s="0" t="n">
        <v>0.5</v>
      </c>
      <c r="D26" s="0" t="n">
        <v>1</v>
      </c>
      <c r="E26" s="0" t="n">
        <v>1</v>
      </c>
      <c r="F26" s="0" t="n">
        <v>0.75</v>
      </c>
      <c r="G26" s="0" t="n">
        <v>0.75</v>
      </c>
      <c r="H26" s="3" t="n">
        <f aca="false">2*(M26+N26+O26+P26)/4</f>
        <v>1.25</v>
      </c>
      <c r="I26" s="3" t="n">
        <f aca="false">2*(Q26+R26+S26)/3</f>
        <v>0</v>
      </c>
      <c r="J26" s="3" t="n">
        <f aca="false">2*(T26+U26)/2</f>
        <v>1.5</v>
      </c>
      <c r="L26" s="4" t="n">
        <f aca="false">MIN(10,10*((M26+N26+O26+P26)/4 + (Q26+R26+S26)/3+(T26+U26)/2)/3)</f>
        <v>4.58333333333333</v>
      </c>
      <c r="M26" s="0" t="n">
        <v>0.5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0.5</v>
      </c>
      <c r="U26" s="0" t="n">
        <v>1</v>
      </c>
      <c r="W26" s="0" t="s">
        <v>39</v>
      </c>
    </row>
    <row r="27" customFormat="false" ht="13.8" hidden="false" customHeight="false" outlineLevel="0" collapsed="false">
      <c r="A27" s="0" t="s">
        <v>40</v>
      </c>
      <c r="B27" s="3" t="n">
        <f aca="false">SUM(C27:J27)</f>
        <v>9</v>
      </c>
      <c r="C27" s="0" t="n">
        <v>0.75</v>
      </c>
      <c r="D27" s="0" t="n">
        <v>1</v>
      </c>
      <c r="E27" s="0" t="n">
        <v>0</v>
      </c>
      <c r="F27" s="0" t="n">
        <v>1</v>
      </c>
      <c r="G27" s="0" t="n">
        <v>1.5</v>
      </c>
      <c r="H27" s="3" t="n">
        <f aca="false">2*(M27+N27+O27+P27)/4</f>
        <v>1.75</v>
      </c>
      <c r="I27" s="3" t="n">
        <f aca="false">2*(Q27+R27+S27)/3</f>
        <v>2</v>
      </c>
      <c r="J27" s="3" t="n">
        <f aca="false">2*(T27+U27)/2</f>
        <v>1</v>
      </c>
      <c r="L27" s="4" t="n">
        <f aca="false">MIN(10,10*((M27+N27+O27+P27)/4 + (Q27+R27+S27)/3+(T27+U27)/2)/3)</f>
        <v>7.91666666666667</v>
      </c>
      <c r="M27" s="0" t="n">
        <v>0.5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0.5</v>
      </c>
      <c r="U27" s="0" t="n">
        <v>0.5</v>
      </c>
    </row>
    <row r="28" customFormat="false" ht="13.8" hidden="false" customHeight="false" outlineLevel="0" collapsed="false">
      <c r="A28" s="0" t="s">
        <v>41</v>
      </c>
      <c r="B28" s="3" t="n">
        <f aca="false">SUM(C28:J28)</f>
        <v>7.5</v>
      </c>
      <c r="C28" s="0" t="n">
        <v>1.5</v>
      </c>
      <c r="D28" s="0" t="n">
        <v>2</v>
      </c>
      <c r="E28" s="0" t="n">
        <v>0</v>
      </c>
      <c r="F28" s="0" t="n">
        <v>0.75</v>
      </c>
      <c r="G28" s="0" t="n">
        <v>0.75</v>
      </c>
      <c r="H28" s="3" t="n">
        <f aca="false">2*(M28+N28+O28+P28)/4</f>
        <v>1.5</v>
      </c>
      <c r="I28" s="3" t="n">
        <f aca="false">2*(Q28+R28+S28)/3</f>
        <v>0</v>
      </c>
      <c r="J28" s="3" t="n">
        <f aca="false">2*(T28+U28)/2</f>
        <v>1</v>
      </c>
      <c r="L28" s="4" t="n">
        <f aca="false">MIN(10,10*((M28+N28+O28+P28)/4 + (Q28+R28+S28)/3+(T28+U28)/2)/3)</f>
        <v>4.16666666666667</v>
      </c>
      <c r="M28" s="0" t="n">
        <v>1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0.5</v>
      </c>
      <c r="U28" s="0" t="n">
        <v>0.5</v>
      </c>
    </row>
    <row r="29" customFormat="false" ht="13.8" hidden="false" customHeight="false" outlineLevel="0" collapsed="false">
      <c r="A29" s="0" t="s">
        <v>42</v>
      </c>
      <c r="B29" s="3" t="n">
        <f aca="false">SUM(C29:J29)</f>
        <v>8.66666666666667</v>
      </c>
      <c r="C29" s="0" t="n">
        <v>1</v>
      </c>
      <c r="D29" s="0" t="n">
        <v>0.5</v>
      </c>
      <c r="E29" s="0" t="n">
        <v>1.5</v>
      </c>
      <c r="F29" s="0" t="n">
        <v>0.75</v>
      </c>
      <c r="G29" s="0" t="n">
        <v>1.75</v>
      </c>
      <c r="H29" s="3" t="n">
        <f aca="false">2*(M29+N29+O29+P29)/4</f>
        <v>1</v>
      </c>
      <c r="I29" s="3" t="n">
        <f aca="false">2*(Q29+R29+S29)/3</f>
        <v>0.666666666666667</v>
      </c>
      <c r="J29" s="3" t="n">
        <f aca="false">2*(T29+U29)/2</f>
        <v>1.5</v>
      </c>
      <c r="L29" s="4" t="n">
        <f aca="false">MIN(10,10*((M29+N29+O29+P29)/4 + (Q29+R29+S29)/3+(T29+U29)/2)/3)</f>
        <v>5.27777777777778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0.75</v>
      </c>
      <c r="U29" s="0" t="n">
        <v>0.75</v>
      </c>
      <c r="W29" s="0" t="s">
        <v>43</v>
      </c>
    </row>
    <row r="30" customFormat="false" ht="13.8" hidden="false" customHeight="false" outlineLevel="0" collapsed="false">
      <c r="A30" s="0" t="s">
        <v>44</v>
      </c>
      <c r="B30" s="3" t="n">
        <f aca="false">SUM(C30:J30)</f>
        <v>7.5</v>
      </c>
      <c r="C30" s="0" t="n">
        <v>1</v>
      </c>
      <c r="D30" s="0" t="n">
        <v>1</v>
      </c>
      <c r="E30" s="0" t="n">
        <v>1.5</v>
      </c>
      <c r="F30" s="0" t="n">
        <v>1</v>
      </c>
      <c r="G30" s="0" t="n">
        <v>0.5</v>
      </c>
      <c r="H30" s="3" t="n">
        <f aca="false">2*(M30+N30+O30+P30)/4</f>
        <v>2</v>
      </c>
      <c r="I30" s="3" t="n">
        <f aca="false">2*(Q30+R30+S30)/3</f>
        <v>0</v>
      </c>
      <c r="J30" s="3" t="n">
        <f aca="false">2*(T30+U30)/2</f>
        <v>0.5</v>
      </c>
      <c r="L30" s="4" t="n">
        <f aca="false">MIN(10,10*((M30+N30+O30+P30)/4 + (Q30+R30+S30)/3+(T30+U30)/2)/3)</f>
        <v>4.16666666666667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0.25</v>
      </c>
      <c r="U30" s="0" t="n">
        <v>0.25</v>
      </c>
    </row>
    <row r="31" customFormat="false" ht="13.8" hidden="false" customHeight="false" outlineLevel="0" collapsed="false">
      <c r="A31" s="0" t="s">
        <v>45</v>
      </c>
      <c r="B31" s="3" t="n">
        <f aca="false">SUM(C31:J31)</f>
        <v>11.2</v>
      </c>
      <c r="C31" s="0" t="n">
        <v>2</v>
      </c>
      <c r="D31" s="0" t="n">
        <v>1.2</v>
      </c>
      <c r="E31" s="0" t="n">
        <v>1</v>
      </c>
      <c r="F31" s="0" t="n">
        <v>1.75</v>
      </c>
      <c r="G31" s="0" t="n">
        <v>1.5</v>
      </c>
      <c r="H31" s="3" t="n">
        <f aca="false">2*(M31+N31+O31+P31)/4</f>
        <v>2</v>
      </c>
      <c r="I31" s="3" t="n">
        <f aca="false">2*(Q31+R31+S31)/3</f>
        <v>0</v>
      </c>
      <c r="J31" s="3" t="n">
        <f aca="false">2*(T31+U31)/2</f>
        <v>1.75</v>
      </c>
      <c r="L31" s="4" t="n">
        <f aca="false">MIN(10,10*((M31+N31+O31+P31)/4 + (Q31+R31+S31)/3+(T31+U31)/2)/3)</f>
        <v>6.25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0.75</v>
      </c>
      <c r="U31" s="0" t="n">
        <v>1</v>
      </c>
      <c r="W31" s="0" t="s">
        <v>46</v>
      </c>
    </row>
    <row r="32" customFormat="false" ht="13.8" hidden="false" customHeight="false" outlineLevel="0" collapsed="false">
      <c r="A32" s="0" t="s">
        <v>47</v>
      </c>
      <c r="B32" s="3" t="n">
        <f aca="false">SUM(C32:J32)</f>
        <v>12.5</v>
      </c>
      <c r="C32" s="0" t="n">
        <v>1.5</v>
      </c>
      <c r="D32" s="0" t="n">
        <v>2</v>
      </c>
      <c r="E32" s="0" t="n">
        <v>1.25</v>
      </c>
      <c r="F32" s="0" t="n">
        <v>0.5</v>
      </c>
      <c r="G32" s="0" t="n">
        <v>1.5</v>
      </c>
      <c r="H32" s="3" t="n">
        <f aca="false">2*(M32+N32+O32+P32)/4</f>
        <v>2</v>
      </c>
      <c r="I32" s="3" t="n">
        <f aca="false">2*(Q32+R32+S32)/3</f>
        <v>2</v>
      </c>
      <c r="J32" s="3" t="n">
        <f aca="false">2*(T32+U32)/2</f>
        <v>1.75</v>
      </c>
      <c r="L32" s="4" t="n">
        <f aca="false">MIN(10,10*((M32+N32+O32+P32)/4 + (Q32+R32+S32)/3+(T32+U32)/2)/3)</f>
        <v>9.58333333333333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0.75</v>
      </c>
      <c r="U32" s="0" t="n">
        <v>1</v>
      </c>
      <c r="W32" s="0" t="s">
        <v>48</v>
      </c>
    </row>
    <row r="33" customFormat="false" ht="13.8" hidden="false" customHeight="false" outlineLevel="0" collapsed="false">
      <c r="A33" s="0" t="s">
        <v>49</v>
      </c>
      <c r="B33" s="3" t="n">
        <f aca="false">SUM(C33:J33)</f>
        <v>12.5</v>
      </c>
      <c r="C33" s="0" t="n">
        <v>2</v>
      </c>
      <c r="D33" s="0" t="n">
        <v>1.5</v>
      </c>
      <c r="E33" s="0" t="n">
        <v>2</v>
      </c>
      <c r="F33" s="0" t="n">
        <v>1.75</v>
      </c>
      <c r="G33" s="0" t="n">
        <v>1.75</v>
      </c>
      <c r="H33" s="3" t="n">
        <f aca="false">2*(M33+N33+O33+P33)/4</f>
        <v>1.5</v>
      </c>
      <c r="I33" s="3" t="n">
        <f aca="false">2*(Q33+R33+S33)/3</f>
        <v>0</v>
      </c>
      <c r="J33" s="3" t="n">
        <f aca="false">2*(T33+U33)/2</f>
        <v>2</v>
      </c>
      <c r="L33" s="4" t="n">
        <f aca="false">MIN(10,10*((M33+N33+O33+P33)/4 + (Q33+R33+S33)/3+(T33+U33)/2)/3)</f>
        <v>5.83333333333333</v>
      </c>
      <c r="M33" s="0" t="n">
        <v>1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</row>
    <row r="34" customFormat="false" ht="13.8" hidden="false" customHeight="false" outlineLevel="0" collapsed="false">
      <c r="A34" s="0" t="s">
        <v>50</v>
      </c>
      <c r="B34" s="3" t="n">
        <f aca="false">SUM(C34:J34)</f>
        <v>8.75</v>
      </c>
      <c r="C34" s="0" t="n">
        <v>0.25</v>
      </c>
      <c r="D34" s="0" t="n">
        <v>0.5</v>
      </c>
      <c r="E34" s="0" t="n">
        <v>1.25</v>
      </c>
      <c r="F34" s="0" t="n">
        <v>1</v>
      </c>
      <c r="G34" s="0" t="n">
        <v>0.5</v>
      </c>
      <c r="H34" s="3" t="n">
        <f aca="false">2*(M34+N34+O34+P34)/4</f>
        <v>2</v>
      </c>
      <c r="I34" s="3" t="n">
        <f aca="false">2*(Q34+R34+S34)/3</f>
        <v>2</v>
      </c>
      <c r="J34" s="3" t="n">
        <f aca="false">2*(T34+U34)/2</f>
        <v>1.25</v>
      </c>
      <c r="L34" s="4" t="n">
        <f aca="false">MIN(10,10*((M34+N34+O34+P34)/4 + (Q34+R34+S34)/3+(T34+U34)/2)/3)</f>
        <v>8.75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0.25</v>
      </c>
      <c r="U34" s="0" t="n">
        <v>1</v>
      </c>
    </row>
    <row r="35" customFormat="false" ht="13.8" hidden="false" customHeight="false" outlineLevel="0" collapsed="false">
      <c r="A35" s="0" t="s">
        <v>51</v>
      </c>
      <c r="B35" s="3" t="n">
        <f aca="false">SUM(C35:J35)</f>
        <v>12.5</v>
      </c>
      <c r="C35" s="0" t="n">
        <v>1.5</v>
      </c>
      <c r="D35" s="0" t="n">
        <v>1</v>
      </c>
      <c r="E35" s="0" t="n">
        <v>1.5</v>
      </c>
      <c r="F35" s="0" t="n">
        <v>1.5</v>
      </c>
      <c r="G35" s="0" t="n">
        <v>1.5</v>
      </c>
      <c r="H35" s="3" t="n">
        <f aca="false">2*(M35+N35+O35+P35)/4</f>
        <v>1.5</v>
      </c>
      <c r="I35" s="3" t="n">
        <f aca="false">2*(Q35+R35+S35)/3</f>
        <v>2</v>
      </c>
      <c r="J35" s="3" t="n">
        <f aca="false">2*(T35+U35)/2</f>
        <v>2</v>
      </c>
      <c r="L35" s="4" t="n">
        <f aca="false">MIN(10,10*((M35+N35+O35+P35)/4 + (Q35+R35+S35)/3+(T35+U35)/2)/3)</f>
        <v>9.16666666666667</v>
      </c>
      <c r="M35" s="0" t="n">
        <v>1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</row>
    <row r="36" customFormat="false" ht="13.8" hidden="false" customHeight="false" outlineLevel="0" collapsed="false">
      <c r="A36" s="0" t="s">
        <v>52</v>
      </c>
      <c r="B36" s="3" t="n">
        <f aca="false">SUM(C36:J36)</f>
        <v>11.5</v>
      </c>
      <c r="C36" s="0" t="n">
        <v>1</v>
      </c>
      <c r="D36" s="0" t="n">
        <v>1.25</v>
      </c>
      <c r="E36" s="0" t="n">
        <v>1</v>
      </c>
      <c r="F36" s="0" t="n">
        <v>1.75</v>
      </c>
      <c r="G36" s="0" t="n">
        <v>1</v>
      </c>
      <c r="H36" s="3" t="n">
        <f aca="false">2*(M36+N36+O36+P36)/4</f>
        <v>1.5</v>
      </c>
      <c r="I36" s="3" t="n">
        <f aca="false">2*(Q36+R36+S36)/3</f>
        <v>2</v>
      </c>
      <c r="J36" s="3" t="n">
        <f aca="false">2*(T36+U36)/2</f>
        <v>2</v>
      </c>
      <c r="L36" s="4" t="n">
        <f aca="false">MIN(10,10*((M36+N36+O36+P36)/4 + (Q36+R36+S36)/3+(T36+U36)/2)/3)</f>
        <v>9.16666666666667</v>
      </c>
      <c r="M36" s="0" t="n">
        <v>1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W36" s="0" t="s">
        <v>53</v>
      </c>
    </row>
    <row r="37" customFormat="false" ht="13.8" hidden="false" customHeight="false" outlineLevel="0" collapsed="false">
      <c r="A37" s="0" t="s">
        <v>54</v>
      </c>
      <c r="B37" s="3" t="n">
        <f aca="false">SUM(C37:J37)</f>
        <v>12.75</v>
      </c>
      <c r="C37" s="0" t="n">
        <v>1.75</v>
      </c>
      <c r="D37" s="0" t="n">
        <v>1</v>
      </c>
      <c r="E37" s="0" t="n">
        <v>1.5</v>
      </c>
      <c r="F37" s="0" t="n">
        <v>1.5</v>
      </c>
      <c r="G37" s="0" t="n">
        <v>1.5</v>
      </c>
      <c r="H37" s="3" t="n">
        <f aca="false">2*(M37+N37+O37+P37)/4</f>
        <v>1.5</v>
      </c>
      <c r="I37" s="3" t="n">
        <f aca="false">2*(Q37+R37+S37)/3</f>
        <v>2</v>
      </c>
      <c r="J37" s="3" t="n">
        <f aca="false">2*(T37+U37)/2</f>
        <v>2</v>
      </c>
      <c r="L37" s="4" t="n">
        <f aca="false">MIN(10,10*((M37+N37+O37+P37)/4 + (Q37+R37+S37)/3+(T37+U37)/2)/3)</f>
        <v>9.16666666666667</v>
      </c>
      <c r="M37" s="0" t="n">
        <v>1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W37" s="0" t="s">
        <v>55</v>
      </c>
    </row>
    <row r="38" customFormat="false" ht="13.8" hidden="false" customHeight="false" outlineLevel="0" collapsed="false">
      <c r="A38" s="0" t="s">
        <v>56</v>
      </c>
      <c r="B38" s="3" t="n">
        <f aca="false">SUM(C38:J38)</f>
        <v>7.5</v>
      </c>
      <c r="C38" s="0" t="n">
        <v>1</v>
      </c>
      <c r="D38" s="0" t="n">
        <v>1.25</v>
      </c>
      <c r="E38" s="0" t="n">
        <v>0.75</v>
      </c>
      <c r="F38" s="0" t="n">
        <v>1.25</v>
      </c>
      <c r="G38" s="0" t="n">
        <v>0.75</v>
      </c>
      <c r="H38" s="3" t="n">
        <f aca="false">2*(M38+N38+O38+P38)/4</f>
        <v>1</v>
      </c>
      <c r="I38" s="3" t="n">
        <f aca="false">2*(Q38+R38+S38)/3</f>
        <v>0</v>
      </c>
      <c r="J38" s="3" t="n">
        <f aca="false">2*(T38+U38)/2</f>
        <v>1.5</v>
      </c>
      <c r="L38" s="4" t="n">
        <f aca="false">MIN(10,10*((M38+N38+O38+P38)/4 + (Q38+R38+S38)/3+(T38+U38)/2)/3)</f>
        <v>4.16666666666667</v>
      </c>
      <c r="M38" s="0" t="n">
        <v>1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0.5</v>
      </c>
      <c r="U38" s="0" t="n">
        <v>1</v>
      </c>
      <c r="W38" s="0" t="s">
        <v>57</v>
      </c>
    </row>
    <row r="40" customFormat="false" ht="13.8" hidden="false" customHeight="false" outlineLevel="0" collapsed="false">
      <c r="B40" s="4" t="n">
        <f aca="false">AVERAGE(B3:B38)</f>
        <v>10.2378703703704</v>
      </c>
      <c r="L40" s="4" t="n">
        <f aca="false">AVERAGE(L3:L38)</f>
        <v>6.98302469135802</v>
      </c>
    </row>
  </sheetData>
  <mergeCells count="3">
    <mergeCell ref="M1:P1"/>
    <mergeCell ref="Q1:R1"/>
    <mergeCell ref="T1:U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LibreOffice/7.0.3.1$MacOSX_X86_64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2021-02-08T08:59:11Z</dcterms:created>
  <dc:creator>Thomas Baudel</dc:creator>
  <dc:description/>
  <dc:language>en-US</dc:language>
  <cp:lastModifiedBy>Philippe Laborie</cp:lastModifiedBy>
  <dcterms:modified xsi:type="dcterms:W3CDTF">2021-02-09T10:55:46Z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